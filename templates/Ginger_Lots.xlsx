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List" sheetId="3" r:id="rId1"/>
    <sheet name="Warehouse Receiving Manifest" sheetId="1" r:id="rId2"/>
    <sheet name="Ginger Report" sheetId="2" r:id="rId3"/>
    <sheet name="label" sheetId="4" r:id="rId4"/>
    <sheet name="ginger suppli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<sst xmlns="http://schemas.openxmlformats.org/spreadsheetml/2006/main" count="1102" uniqueCount="104">
  <si>
    <t>order</t>
  </si>
  <si>
    <t>YY</t>
  </si>
  <si>
    <t>MM</t>
  </si>
  <si>
    <t>DD</t>
  </si>
  <si>
    <t>P.O. No.</t>
  </si>
  <si>
    <t>Container No.</t>
  </si>
  <si>
    <t>Container Seal No.</t>
  </si>
  <si>
    <t xml:space="preserve">Lot No. </t>
  </si>
  <si>
    <t>Receiving Date</t>
  </si>
  <si>
    <t>Product Description</t>
  </si>
  <si>
    <t>Supplier</t>
  </si>
  <si>
    <t>Truck Line</t>
  </si>
  <si>
    <t>FRESH  GINGER</t>
  </si>
  <si>
    <t>Santao</t>
  </si>
  <si>
    <t>SL</t>
  </si>
  <si>
    <t>04</t>
  </si>
  <si>
    <t>Trinity Distribution Inc.</t>
  </si>
  <si>
    <t>Warehouse Receiving Manifest</t>
  </si>
  <si>
    <t>Frozen</t>
  </si>
  <si>
    <t>Cooler</t>
  </si>
  <si>
    <t>Dry</t>
  </si>
  <si>
    <t>X</t>
  </si>
  <si>
    <t>Cesar</t>
  </si>
  <si>
    <t>Receiver</t>
  </si>
  <si>
    <t>Receiving Date:</t>
  </si>
  <si>
    <t>Temp. Recorder(s)</t>
  </si>
  <si>
    <t>TDI</t>
  </si>
  <si>
    <t>Inspect By</t>
  </si>
  <si>
    <t>Unloading Date:</t>
  </si>
  <si>
    <t>For Account Of:</t>
  </si>
  <si>
    <t>Item/Net Weight</t>
  </si>
  <si>
    <t>Delivering Truck Line:</t>
  </si>
  <si>
    <t xml:space="preserve">Lot No.   
</t>
  </si>
  <si>
    <t xml:space="preserve">Item Code:              
</t>
  </si>
  <si>
    <t xml:space="preserve">Product Description:          
</t>
  </si>
  <si>
    <t xml:space="preserve">Pack Size:   
</t>
  </si>
  <si>
    <r>
      <rPr>
        <sz val="7"/>
        <color theme="1"/>
        <rFont val="Calibri"/>
        <charset val="134"/>
        <scheme val="minor"/>
      </rPr>
      <t xml:space="preserve">Origin:       
</t>
    </r>
    <r>
      <rPr>
        <b/>
        <sz val="10"/>
        <color theme="1"/>
        <rFont val="Calibri"/>
        <charset val="134"/>
        <scheme val="minor"/>
      </rPr>
      <t xml:space="preserve">         </t>
    </r>
    <r>
      <rPr>
        <sz val="7"/>
        <color theme="1"/>
        <rFont val="Calibri"/>
        <charset val="134"/>
        <scheme val="minor"/>
      </rPr>
      <t xml:space="preserve">  </t>
    </r>
    <r>
      <rPr>
        <b/>
        <sz val="11"/>
        <color theme="1"/>
        <rFont val="Calibri"/>
        <charset val="134"/>
        <scheme val="minor"/>
      </rPr>
      <t xml:space="preserve">        </t>
    </r>
    <r>
      <rPr>
        <b/>
        <sz val="10"/>
        <color theme="1"/>
        <rFont val="Calibri"/>
        <charset val="134"/>
        <scheme val="minor"/>
      </rPr>
      <t xml:space="preserve">         </t>
    </r>
  </si>
  <si>
    <t xml:space="preserve">Supplier:                                             
</t>
  </si>
  <si>
    <t>Product Temp</t>
  </si>
  <si>
    <t>Total Cases:</t>
  </si>
  <si>
    <t xml:space="preserve"> 30LBS</t>
  </si>
  <si>
    <t>China</t>
  </si>
  <si>
    <t>Cooler/Freezer Location:</t>
  </si>
  <si>
    <t>Cases Per Layer:</t>
  </si>
  <si>
    <t xml:space="preserve">Product Quality:                                                                                                                        </t>
  </si>
  <si>
    <t xml:space="preserve">Off-odor:   </t>
  </si>
  <si>
    <t>Packaging:</t>
  </si>
  <si>
    <t>Labelling:</t>
  </si>
  <si>
    <t>Foreign Material:</t>
  </si>
  <si>
    <t>Damage Case(s):</t>
  </si>
  <si>
    <t>Qualify uses "Ö" or YES . Disqualify uses "X" or NO. If there's any disqualification, please indicate the finding(s) and corrective actions in the Corrective Action Form.</t>
  </si>
  <si>
    <t>Ginger Report</t>
  </si>
  <si>
    <t>Reporter</t>
  </si>
  <si>
    <r>
      <rPr>
        <sz val="10"/>
        <color theme="1"/>
        <rFont val="Calibri"/>
        <charset val="134"/>
        <scheme val="minor"/>
      </rPr>
      <t xml:space="preserve">Origin:       
</t>
    </r>
    <r>
      <rPr>
        <b/>
        <sz val="10"/>
        <color theme="1"/>
        <rFont val="Calibri"/>
        <charset val="134"/>
        <scheme val="minor"/>
      </rPr>
      <t xml:space="preserve">         </t>
    </r>
    <r>
      <rPr>
        <sz val="10"/>
        <color theme="1"/>
        <rFont val="Calibri"/>
        <charset val="134"/>
        <scheme val="minor"/>
      </rPr>
      <t xml:space="preserve">  </t>
    </r>
    <r>
      <rPr>
        <b/>
        <sz val="10"/>
        <color theme="1"/>
        <rFont val="Calibri"/>
        <charset val="134"/>
        <scheme val="minor"/>
      </rPr>
      <t xml:space="preserve">                 </t>
    </r>
  </si>
  <si>
    <t>1/30#</t>
  </si>
  <si>
    <r>
      <rPr>
        <b/>
        <sz val="10"/>
        <color theme="1"/>
        <rFont val="Calibri"/>
        <charset val="134"/>
        <scheme val="minor"/>
      </rPr>
      <t>Gross weight(</t>
    </r>
    <r>
      <rPr>
        <b/>
        <sz val="10"/>
        <color theme="1"/>
        <rFont val="Calibri"/>
        <charset val="134"/>
      </rPr>
      <t>≥35</t>
    </r>
    <r>
      <rPr>
        <b/>
        <sz val="10"/>
        <color theme="1"/>
        <rFont val="Calibri"/>
        <charset val="134"/>
        <scheme val="minor"/>
      </rPr>
      <t>LBS)</t>
    </r>
  </si>
  <si>
    <t>Wet with plastic bag</t>
  </si>
  <si>
    <t>Dry packed</t>
  </si>
  <si>
    <t>Quality
(Disqualified use 'NO.')</t>
  </si>
  <si>
    <t>Mold</t>
  </si>
  <si>
    <t>Rotten</t>
  </si>
  <si>
    <t>Sprouting</t>
  </si>
  <si>
    <t>Not Clean washed</t>
  </si>
  <si>
    <t>Skin off</t>
  </si>
  <si>
    <t>Small piece</t>
  </si>
  <si>
    <t>Green color</t>
  </si>
  <si>
    <t>Dirty on the box</t>
  </si>
  <si>
    <t>Date:</t>
  </si>
  <si>
    <t>Pallet#</t>
  </si>
  <si>
    <t>Item</t>
  </si>
  <si>
    <t>Suplier</t>
  </si>
  <si>
    <t>Fresh Organic Ginger, Peru. 30#</t>
  </si>
  <si>
    <t>COAAM</t>
  </si>
  <si>
    <t>Fresh Ginger, Thailand. 1/30#</t>
  </si>
  <si>
    <t>J&amp;P</t>
  </si>
  <si>
    <t>Fresh Organic Ginger, Peru. 1/30#</t>
  </si>
  <si>
    <t>JCH</t>
  </si>
  <si>
    <t>Fresh Organic Ginger, Peru.1/40#</t>
  </si>
  <si>
    <t>Fresh Ginger, Chinese Varity</t>
  </si>
  <si>
    <t>Jungle Fresh</t>
  </si>
  <si>
    <t>KOR</t>
  </si>
  <si>
    <t xml:space="preserve">Fresh Ginger, China. 1/30# </t>
  </si>
  <si>
    <t>LAIWU TAIFENG</t>
  </si>
  <si>
    <t>LEON</t>
  </si>
  <si>
    <t>Fresh Ginger, China. 1/30# 1,872</t>
  </si>
  <si>
    <t>MANHING</t>
  </si>
  <si>
    <t>Nativa</t>
  </si>
  <si>
    <t>Nativa (Fruticola)</t>
  </si>
  <si>
    <t>Bag Ginger,China.1/40# - 1050 bags</t>
  </si>
  <si>
    <t>SANTAO</t>
  </si>
  <si>
    <t>CARTONS - 200PC</t>
  </si>
  <si>
    <t>FRESH GINGER 1X30LBS</t>
  </si>
  <si>
    <t>Fresh Ginger YR - 500 ctns;</t>
  </si>
  <si>
    <t>Fresh Ginger, China. 1/22#</t>
  </si>
  <si>
    <t>Fresh Ginger, China. 1/26#</t>
  </si>
  <si>
    <t>Fresh Ginger, China. 1/30#</t>
  </si>
  <si>
    <t>Fresh Ginger, China. 1/30# YR</t>
  </si>
  <si>
    <t>Fresh Ginger, China. 1/30#(RD BOX)</t>
  </si>
  <si>
    <t>Fresh Ginger, China. 1/32#
(Mixed new boxes)</t>
  </si>
  <si>
    <t>Fresh Organic Ginger, China. 1/30#</t>
  </si>
  <si>
    <t>Old crop Fresh Ginger, China. 1/30#
Fresh Ginger, China. 1/30# 904</t>
  </si>
  <si>
    <t>Organic Bag Ginger, China. 1/40#</t>
  </si>
  <si>
    <t>ORGANIC FRESH GINGER 1X30LBS Yunnan</t>
  </si>
  <si>
    <t>PLASTIC BAGS-11PC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</si>
</sst>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  <numFmt numFmtId="179" formatCode="\(0\)"/>
    <numFmt numFmtId="180" formatCode="m/d/yyyy;@"/>
    <numFmt numFmtId="181" formatCode="00"/>
  </numFmts>
  <fonts count="37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60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sz val="48"/>
      <color theme="1"/>
      <name val="Calibri"/>
      <charset val="134"/>
      <scheme val="minor"/>
    </font>
    <font>
      <b/>
      <sz val="60"/>
      <color theme="1"/>
      <name val="Calibri"/>
      <charset val="134"/>
      <scheme val="minor"/>
    </font>
    <font>
      <u/>
      <sz val="9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7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3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7" applyNumberFormat="0" applyFill="0" applyAlignment="0" applyProtection="0">
      <alignment vertical="center"/>
    </xf>
    <xf numFmtId="0" fontId="23" fillId="0" borderId="37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39" applyNumberFormat="0" applyAlignment="0" applyProtection="0">
      <alignment vertical="center"/>
    </xf>
    <xf numFmtId="0" fontId="26" fillId="5" borderId="40" applyNumberFormat="0" applyAlignment="0" applyProtection="0">
      <alignment vertical="center"/>
    </xf>
    <xf numFmtId="0" fontId="27" fillId="5" borderId="39" applyNumberFormat="0" applyAlignment="0" applyProtection="0">
      <alignment vertical="center"/>
    </xf>
    <xf numFmtId="0" fontId="28" fillId="6" borderId="41" applyNumberFormat="0" applyAlignment="0" applyProtection="0">
      <alignment vertical="center"/>
    </xf>
    <xf numFmtId="0" fontId="29" fillId="0" borderId="42" applyNumberFormat="0" applyFill="0" applyAlignment="0" applyProtection="0">
      <alignment vertical="center"/>
    </xf>
    <xf numFmtId="0" fontId="30" fillId="0" borderId="43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14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2" borderId="0" xfId="0" applyFont="1" applyFill="1"/>
    <xf numFmtId="58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left"/>
    </xf>
    <xf numFmtId="58" fontId="2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/>
    </xf>
    <xf numFmtId="179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 vertical="center"/>
    </xf>
    <xf numFmtId="58" fontId="2" fillId="2" borderId="0" xfId="0" applyNumberFormat="1" applyFont="1" applyFill="1" applyAlignment="1">
      <alignment horizontal="right"/>
    </xf>
    <xf numFmtId="178" fontId="2" fillId="2" borderId="0" xfId="0" applyNumberFormat="1" applyFont="1" applyFill="1" applyAlignment="1">
      <alignment horizontal="left"/>
    </xf>
    <xf numFmtId="58" fontId="2" fillId="2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0" xfId="0" applyFont="1" applyFill="1" applyAlignment="1">
      <alignment horizontal="left"/>
    </xf>
    <xf numFmtId="179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/>
    <xf numFmtId="0" fontId="8" fillId="2" borderId="2" xfId="0" applyFont="1" applyFill="1" applyBorder="1" applyAlignment="1">
      <alignment horizontal="left" vertical="top"/>
    </xf>
    <xf numFmtId="0" fontId="8" fillId="2" borderId="3" xfId="0" applyFont="1" applyFill="1" applyBorder="1" applyAlignment="1">
      <alignment horizontal="left" vertical="top"/>
    </xf>
    <xf numFmtId="0" fontId="7" fillId="2" borderId="3" xfId="0" applyFont="1" applyFill="1" applyBorder="1"/>
    <xf numFmtId="0" fontId="9" fillId="2" borderId="3" xfId="0" applyFont="1" applyFill="1" applyBorder="1" applyAlignment="1">
      <alignment horizontal="center" vertical="top"/>
    </xf>
    <xf numFmtId="0" fontId="9" fillId="2" borderId="4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vertical="center"/>
    </xf>
    <xf numFmtId="0" fontId="7" fillId="2" borderId="0" xfId="0" applyFont="1" applyFill="1" applyBorder="1"/>
    <xf numFmtId="178" fontId="10" fillId="2" borderId="6" xfId="0" applyNumberFormat="1" applyFont="1" applyFill="1" applyBorder="1" applyAlignment="1">
      <alignment horizontal="left"/>
    </xf>
    <xf numFmtId="180" fontId="10" fillId="2" borderId="6" xfId="0" applyNumberFormat="1" applyFont="1" applyFill="1" applyBorder="1" applyAlignment="1">
      <alignment horizontal="left"/>
    </xf>
    <xf numFmtId="180" fontId="10" fillId="2" borderId="7" xfId="0" applyNumberFormat="1" applyFont="1" applyFill="1" applyBorder="1" applyAlignment="1">
      <alignment horizontal="left"/>
    </xf>
    <xf numFmtId="0" fontId="7" fillId="2" borderId="8" xfId="0" applyFont="1" applyFill="1" applyBorder="1"/>
    <xf numFmtId="0" fontId="7" fillId="2" borderId="0" xfId="0" applyFont="1" applyFill="1" applyBorder="1" applyAlignment="1">
      <alignment vertical="center"/>
    </xf>
    <xf numFmtId="0" fontId="7" fillId="2" borderId="9" xfId="0" applyFont="1" applyFill="1" applyBorder="1"/>
    <xf numFmtId="0" fontId="11" fillId="2" borderId="0" xfId="0" applyFont="1" applyFill="1" applyBorder="1" applyAlignment="1">
      <alignment horizontal="center" vertical="center"/>
    </xf>
    <xf numFmtId="58" fontId="7" fillId="2" borderId="0" xfId="0" applyNumberFormat="1" applyFont="1" applyFill="1"/>
    <xf numFmtId="0" fontId="7" fillId="2" borderId="10" xfId="0" applyFont="1" applyFill="1" applyBorder="1" applyAlignment="1">
      <alignment horizontal="left" vertical="top" wrapText="1"/>
    </xf>
    <xf numFmtId="0" fontId="7" fillId="2" borderId="11" xfId="0" applyFont="1" applyFill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top" wrapText="1"/>
    </xf>
    <xf numFmtId="0" fontId="7" fillId="2" borderId="14" xfId="0" applyFont="1" applyFill="1" applyBorder="1" applyAlignment="1">
      <alignment vertical="top" wrapText="1"/>
    </xf>
    <xf numFmtId="0" fontId="7" fillId="2" borderId="12" xfId="0" applyFont="1" applyFill="1" applyBorder="1" applyAlignment="1">
      <alignment vertical="top" wrapText="1"/>
    </xf>
    <xf numFmtId="0" fontId="7" fillId="2" borderId="15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12" fillId="2" borderId="16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19" xfId="0" applyFont="1" applyFill="1" applyBorder="1" applyAlignment="1">
      <alignment horizontal="left" vertical="top" wrapText="1"/>
    </xf>
    <xf numFmtId="0" fontId="10" fillId="2" borderId="20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left" vertical="center"/>
    </xf>
    <xf numFmtId="0" fontId="7" fillId="2" borderId="21" xfId="0" applyFont="1" applyFill="1" applyBorder="1"/>
    <xf numFmtId="0" fontId="7" fillId="2" borderId="22" xfId="0" applyFont="1" applyFill="1" applyBorder="1"/>
    <xf numFmtId="0" fontId="0" fillId="2" borderId="23" xfId="0" applyFill="1" applyBorder="1" applyAlignment="1">
      <alignment horizontal="left" vertical="center"/>
    </xf>
    <xf numFmtId="0" fontId="7" fillId="2" borderId="24" xfId="0" applyFont="1" applyFill="1" applyBorder="1"/>
    <xf numFmtId="0" fontId="10" fillId="2" borderId="20" xfId="0" applyFont="1" applyFill="1" applyBorder="1" applyAlignment="1">
      <alignment horizontal="left" vertical="center" wrapText="1"/>
    </xf>
    <xf numFmtId="0" fontId="0" fillId="2" borderId="20" xfId="0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vertical="top" wrapText="1"/>
    </xf>
    <xf numFmtId="0" fontId="12" fillId="2" borderId="7" xfId="0" applyFont="1" applyFill="1" applyBorder="1" applyAlignment="1">
      <alignment horizontal="left" vertical="top" wrapText="1"/>
    </xf>
    <xf numFmtId="0" fontId="0" fillId="2" borderId="25" xfId="0" applyFill="1" applyBorder="1" applyAlignment="1">
      <alignment horizontal="left" vertical="center"/>
    </xf>
    <xf numFmtId="0" fontId="7" fillId="2" borderId="26" xfId="0" applyFont="1" applyFill="1" applyBorder="1"/>
    <xf numFmtId="0" fontId="7" fillId="2" borderId="27" xfId="0" applyFont="1" applyFill="1" applyBorder="1"/>
    <xf numFmtId="0" fontId="7" fillId="2" borderId="0" xfId="0" applyFont="1" applyFill="1" applyBorder="1" applyAlignment="1"/>
    <xf numFmtId="0" fontId="13" fillId="2" borderId="21" xfId="0" applyFont="1" applyFill="1" applyBorder="1" applyAlignment="1">
      <alignment horizontal="center" vertical="top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58" fontId="10" fillId="2" borderId="6" xfId="0" applyNumberFormat="1" applyFont="1" applyFill="1" applyBorder="1" applyAlignment="1">
      <alignment vertical="center"/>
    </xf>
    <xf numFmtId="0" fontId="7" fillId="2" borderId="6" xfId="0" applyFont="1" applyFill="1" applyBorder="1"/>
    <xf numFmtId="178" fontId="10" fillId="2" borderId="6" xfId="0" applyNumberFormat="1" applyFont="1" applyFill="1" applyBorder="1" applyAlignment="1">
      <alignment horizontal="center"/>
    </xf>
    <xf numFmtId="178" fontId="10" fillId="2" borderId="7" xfId="0" applyNumberFormat="1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58" fontId="7" fillId="2" borderId="6" xfId="0" applyNumberFormat="1" applyFont="1" applyFill="1" applyBorder="1"/>
    <xf numFmtId="0" fontId="7" fillId="2" borderId="7" xfId="0" applyFont="1" applyFill="1" applyBorder="1"/>
    <xf numFmtId="0" fontId="10" fillId="2" borderId="5" xfId="0" applyFont="1" applyFill="1" applyBorder="1"/>
    <xf numFmtId="0" fontId="10" fillId="2" borderId="6" xfId="0" applyFont="1" applyFill="1" applyBorder="1"/>
    <xf numFmtId="0" fontId="10" fillId="2" borderId="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8" xfId="0" applyFont="1" applyFill="1" applyBorder="1" applyAlignment="1">
      <alignment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/>
    </xf>
    <xf numFmtId="0" fontId="15" fillId="2" borderId="21" xfId="0" applyFont="1" applyFill="1" applyBorder="1" applyAlignment="1">
      <alignment vertical="center" wrapText="1"/>
    </xf>
    <xf numFmtId="0" fontId="7" fillId="2" borderId="30" xfId="0" applyFont="1" applyFill="1" applyBorder="1"/>
    <xf numFmtId="0" fontId="10" fillId="2" borderId="28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left" vertical="top" wrapText="1"/>
    </xf>
    <xf numFmtId="0" fontId="14" fillId="2" borderId="13" xfId="0" applyFont="1" applyFill="1" applyBorder="1" applyAlignment="1">
      <alignment horizontal="left" vertical="top" wrapText="1"/>
    </xf>
    <xf numFmtId="0" fontId="14" fillId="2" borderId="11" xfId="0" applyFont="1" applyFill="1" applyBorder="1" applyAlignment="1">
      <alignment horizontal="left" vertical="top" wrapText="1"/>
    </xf>
    <xf numFmtId="0" fontId="14" fillId="2" borderId="12" xfId="0" applyFont="1" applyFill="1" applyBorder="1" applyAlignment="1">
      <alignment horizontal="left" vertical="top" wrapText="1"/>
    </xf>
    <xf numFmtId="0" fontId="14" fillId="2" borderId="14" xfId="0" applyFont="1" applyFill="1" applyBorder="1" applyAlignment="1">
      <alignment vertical="top" wrapText="1"/>
    </xf>
    <xf numFmtId="0" fontId="14" fillId="2" borderId="12" xfId="0" applyFont="1" applyFill="1" applyBorder="1" applyAlignment="1">
      <alignment vertical="top" wrapText="1"/>
    </xf>
    <xf numFmtId="0" fontId="14" fillId="2" borderId="11" xfId="0" applyFont="1" applyFill="1" applyBorder="1" applyAlignment="1">
      <alignment vertical="top" wrapText="1"/>
    </xf>
    <xf numFmtId="0" fontId="14" fillId="2" borderId="15" xfId="0" applyFont="1" applyFill="1" applyBorder="1" applyAlignment="1">
      <alignment horizontal="left" vertical="top" wrapText="1"/>
    </xf>
    <xf numFmtId="0" fontId="16" fillId="2" borderId="31" xfId="0" applyFont="1" applyFill="1" applyBorder="1" applyAlignment="1">
      <alignment horizontal="left" vertical="top"/>
    </xf>
    <xf numFmtId="0" fontId="16" fillId="2" borderId="18" xfId="0" applyFont="1" applyFill="1" applyBorder="1" applyAlignment="1">
      <alignment horizontal="left" vertical="top"/>
    </xf>
    <xf numFmtId="0" fontId="16" fillId="2" borderId="21" xfId="0" applyFont="1" applyFill="1" applyBorder="1" applyAlignment="1">
      <alignment horizontal="left" vertical="top"/>
    </xf>
    <xf numFmtId="0" fontId="16" fillId="2" borderId="19" xfId="0" applyFont="1" applyFill="1" applyBorder="1" applyAlignment="1">
      <alignment horizontal="left" vertical="top"/>
    </xf>
    <xf numFmtId="0" fontId="16" fillId="2" borderId="20" xfId="0" applyFont="1" applyFill="1" applyBorder="1" applyAlignment="1">
      <alignment horizontal="left" vertical="top"/>
    </xf>
    <xf numFmtId="0" fontId="16" fillId="2" borderId="14" xfId="0" applyFont="1" applyFill="1" applyBorder="1" applyAlignment="1">
      <alignment horizontal="left" vertical="top"/>
    </xf>
    <xf numFmtId="0" fontId="16" fillId="2" borderId="32" xfId="0" applyFont="1" applyFill="1" applyBorder="1" applyAlignment="1">
      <alignment horizontal="left" vertical="top"/>
    </xf>
    <xf numFmtId="0" fontId="16" fillId="2" borderId="28" xfId="0" applyFont="1" applyFill="1" applyBorder="1" applyAlignment="1">
      <alignment horizontal="left" vertical="top"/>
    </xf>
    <xf numFmtId="0" fontId="14" fillId="2" borderId="32" xfId="0" applyFont="1" applyFill="1" applyBorder="1" applyAlignment="1">
      <alignment vertical="top" wrapText="1"/>
    </xf>
    <xf numFmtId="0" fontId="14" fillId="2" borderId="17" xfId="0" applyFont="1" applyFill="1" applyBorder="1" applyAlignment="1">
      <alignment horizontal="left" vertical="top" wrapText="1"/>
    </xf>
    <xf numFmtId="0" fontId="14" fillId="2" borderId="6" xfId="0" applyFont="1" applyFill="1" applyBorder="1" applyAlignment="1">
      <alignment horizontal="left" vertical="top" wrapText="1"/>
    </xf>
    <xf numFmtId="0" fontId="14" fillId="2" borderId="17" xfId="0" applyFont="1" applyFill="1" applyBorder="1" applyAlignment="1">
      <alignment vertical="top" wrapText="1"/>
    </xf>
    <xf numFmtId="0" fontId="14" fillId="2" borderId="19" xfId="0" applyFont="1" applyFill="1" applyBorder="1" applyAlignment="1">
      <alignment vertical="top" wrapText="1"/>
    </xf>
    <xf numFmtId="0" fontId="16" fillId="2" borderId="22" xfId="0" applyFont="1" applyFill="1" applyBorder="1" applyAlignment="1">
      <alignment horizontal="left" vertical="top"/>
    </xf>
    <xf numFmtId="0" fontId="7" fillId="2" borderId="33" xfId="0" applyFont="1" applyFill="1" applyBorder="1" applyAlignment="1">
      <alignment horizontal="left" vertical="center"/>
    </xf>
    <xf numFmtId="0" fontId="7" fillId="2" borderId="34" xfId="0" applyFont="1" applyFill="1" applyBorder="1" applyAlignment="1">
      <alignment horizontal="left" vertical="center"/>
    </xf>
    <xf numFmtId="0" fontId="7" fillId="2" borderId="35" xfId="0" applyFont="1" applyFill="1" applyBorder="1" applyAlignment="1">
      <alignment horizontal="left" vertical="center"/>
    </xf>
    <xf numFmtId="58" fontId="10" fillId="2" borderId="6" xfId="0" applyNumberFormat="1" applyFont="1" applyFill="1" applyBorder="1" applyAlignment="1">
      <alignment horizontal="center"/>
    </xf>
    <xf numFmtId="58" fontId="10" fillId="2" borderId="7" xfId="0" applyNumberFormat="1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0" fillId="2" borderId="21" xfId="0" applyFill="1" applyBorder="1"/>
    <xf numFmtId="178" fontId="0" fillId="2" borderId="21" xfId="0" applyNumberFormat="1" applyFill="1" applyBorder="1"/>
    <xf numFmtId="181" fontId="0" fillId="2" borderId="21" xfId="0" applyNumberFormat="1" applyFill="1" applyBorder="1"/>
    <xf numFmtId="181" fontId="0" fillId="2" borderId="21" xfId="0" applyNumberFormat="1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J2" sqref="J2:K10"/>
    </sheetView>
  </sheetViews>
  <sheetFormatPr defaultColWidth="9" defaultRowHeight="23.4" customHeight="1"/>
  <cols>
    <col min="1" max="1" width="5.11111111111111" style="1" customWidth="1"/>
    <col min="2" max="4" width="5.22222222222222" style="1" customWidth="1"/>
    <col min="5" max="5" width="8.88888888888889" style="1"/>
    <col min="6" max="6" width="17.2222222222222" style="1" customWidth="1"/>
    <col min="7" max="7" width="15.3333333333333" style="1" customWidth="1"/>
    <col min="8" max="8" width="15.1111111111111" style="1" customWidth="1"/>
    <col min="9" max="9" width="12.7777777777778" style="1" customWidth="1"/>
    <col min="10" max="10" width="21.5555555555556" style="1" customWidth="1"/>
    <col min="11" max="11" width="10.7777777777778" style="1" customWidth="1"/>
    <col min="12" max="16384" width="8.88888888888889" style="1"/>
  </cols>
  <sheetData>
    <row r="1" customHeight="1" spans="1:12">
      <c r="A1" s="138" t="s">
        <v>0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139" t="s">
        <v>11</v>
      </c>
    </row>
    <row r="2" customHeight="1" spans="1:12">
      <c r="A2" s="139"/>
      <c r="B2" s="139">
        <v>26</v>
      </c>
      <c r="C2" s="139"/>
      <c r="D2" s="139"/>
      <c r="E2" s="139"/>
      <c r="F2" s="139"/>
      <c r="G2" s="139"/>
      <c r="H2" s="139" t="str">
        <f>IF(D2="","","GIN"&amp;MID(B2,2,1)&amp;MID(B2,1,1)&amp;MID(C2,2,1)&amp;MID(C2,1,1)&amp;MID(D2,2,1)&amp;MID(D2,1,1)&amp;A2)</f>
        <v/>
      </c>
      <c r="I2" s="140" t="str">
        <f>IF(D2="","",DATE(B2,C2,D2))</f>
        <v/>
      </c>
      <c r="J2" s="139" t="s">
        <v>12</v>
      </c>
      <c r="K2" s="139" t="s">
        <v>13</v>
      </c>
      <c r="L2" s="139" t="s">
        <v>14</v>
      </c>
    </row>
    <row r="3" customHeight="1" spans="1:12">
      <c r="A3" s="139"/>
      <c r="B3" s="139">
        <v>26</v>
      </c>
      <c r="C3" s="141"/>
      <c r="D3" s="139"/>
      <c r="E3" s="139"/>
      <c r="F3" s="139"/>
      <c r="G3" s="139"/>
      <c r="H3" s="139" t="str">
        <f>IF(D3="","","GIN"&amp;MID(B3,2,1)&amp;MID(B3,1,1)&amp;MID(C3,2,1)&amp;MID(C3,1,1)&amp;MID(D3,2,1)&amp;MID(D3,1,1)&amp;A3)</f>
        <v/>
      </c>
      <c r="I3" s="140" t="str">
        <f t="shared" ref="I3:I10" si="0">IF(D3="","",DATE(B3,C3,D3))</f>
        <v/>
      </c>
      <c r="J3" s="139" t="s">
        <v>12</v>
      </c>
      <c r="K3" s="139" t="s">
        <v>13</v>
      </c>
      <c r="L3" s="139" t="s">
        <v>14</v>
      </c>
    </row>
    <row r="4" customHeight="1" spans="1:12">
      <c r="A4" s="139"/>
      <c r="B4" s="139">
        <v>26</v>
      </c>
      <c r="C4" s="142" t="s">
        <v>15</v>
      </c>
      <c r="D4" s="139"/>
      <c r="E4" s="139"/>
      <c r="F4" s="139"/>
      <c r="G4" s="139"/>
      <c r="H4" s="139" t="str">
        <f>IF(D4="","","GIN"&amp;MID(B4,2,1)&amp;MID(B4,1,1)&amp;MID(C4,2,1)&amp;MID(C4,1,1)&amp;MID(D4,2,1)&amp;MID(D4,1,1)&amp;A4)</f>
        <v/>
      </c>
      <c r="I4" s="140" t="str">
        <f t="shared" si="0"/>
        <v/>
      </c>
      <c r="J4" s="139" t="s">
        <v>12</v>
      </c>
      <c r="K4" s="139" t="s">
        <v>13</v>
      </c>
      <c r="L4" s="139" t="s">
        <v>14</v>
      </c>
    </row>
    <row r="5" customHeight="1" spans="1:12">
      <c r="A5" s="139"/>
      <c r="B5" s="139">
        <v>26</v>
      </c>
      <c r="C5" s="142" t="s">
        <v>15</v>
      </c>
      <c r="D5" s="139"/>
      <c r="E5" s="139"/>
      <c r="F5" s="139"/>
      <c r="G5" s="139"/>
      <c r="H5" s="139" t="str">
        <f t="shared" ref="H4:H10" si="1">IF(D5="","","PGIN"&amp;MID(B5,2,1)&amp;MID(B5,1,1)&amp;MID(C5,2,1)&amp;MID(C5,1,1)&amp;MID(D5,2,1)&amp;MID(D5,1,1)&amp;A5)</f>
        <v/>
      </c>
      <c r="I5" s="140" t="str">
        <f t="shared" si="0"/>
        <v/>
      </c>
      <c r="J5" s="139" t="s">
        <v>12</v>
      </c>
      <c r="K5" s="139" t="s">
        <v>13</v>
      </c>
      <c r="L5" s="139" t="s">
        <v>14</v>
      </c>
    </row>
    <row r="6" customHeight="1" spans="1:12">
      <c r="A6" s="139"/>
      <c r="B6" s="139">
        <v>26</v>
      </c>
      <c r="C6" s="142" t="s">
        <v>15</v>
      </c>
      <c r="D6" s="139"/>
      <c r="E6" s="139"/>
      <c r="F6" s="139"/>
      <c r="G6" s="139"/>
      <c r="H6" s="139" t="str">
        <f t="shared" si="1"/>
        <v/>
      </c>
      <c r="I6" s="140" t="str">
        <f t="shared" si="0"/>
        <v/>
      </c>
      <c r="J6" s="139" t="s">
        <v>12</v>
      </c>
      <c r="K6" s="139" t="s">
        <v>13</v>
      </c>
      <c r="L6" s="139" t="s">
        <v>14</v>
      </c>
    </row>
    <row r="7" customHeight="1" spans="1:12">
      <c r="A7" s="139"/>
      <c r="B7" s="139">
        <v>26</v>
      </c>
      <c r="C7" s="142" t="s">
        <v>15</v>
      </c>
      <c r="D7" s="139"/>
      <c r="E7" s="139"/>
      <c r="F7" s="139"/>
      <c r="G7" s="139"/>
      <c r="H7" s="139" t="str">
        <f t="shared" si="1"/>
        <v/>
      </c>
      <c r="I7" s="140" t="str">
        <f t="shared" si="0"/>
        <v/>
      </c>
      <c r="J7" s="139" t="s">
        <v>12</v>
      </c>
      <c r="K7" s="139" t="s">
        <v>13</v>
      </c>
      <c r="L7" s="139" t="s">
        <v>14</v>
      </c>
    </row>
    <row r="8" customHeight="1" spans="1:12">
      <c r="A8" s="139"/>
      <c r="B8" s="139">
        <v>26</v>
      </c>
      <c r="C8" s="142" t="s">
        <v>15</v>
      </c>
      <c r="D8" s="139"/>
      <c r="E8" s="139"/>
      <c r="F8" s="139"/>
      <c r="G8" s="139"/>
      <c r="H8" s="139" t="str">
        <f t="shared" si="1"/>
        <v/>
      </c>
      <c r="I8" s="140" t="str">
        <f t="shared" si="0"/>
        <v/>
      </c>
      <c r="J8" s="139" t="s">
        <v>12</v>
      </c>
      <c r="K8" s="139" t="s">
        <v>13</v>
      </c>
      <c r="L8" s="139" t="s">
        <v>14</v>
      </c>
    </row>
    <row r="9" customHeight="1" spans="1:12">
      <c r="A9" s="139"/>
      <c r="B9" s="139">
        <v>26</v>
      </c>
      <c r="C9" s="142" t="s">
        <v>15</v>
      </c>
      <c r="D9" s="139"/>
      <c r="E9" s="139"/>
      <c r="F9" s="139"/>
      <c r="G9" s="139"/>
      <c r="H9" s="139" t="str">
        <f t="shared" si="1"/>
        <v/>
      </c>
      <c r="I9" s="140" t="str">
        <f t="shared" si="0"/>
        <v/>
      </c>
      <c r="J9" s="139" t="s">
        <v>12</v>
      </c>
      <c r="K9" s="139" t="s">
        <v>13</v>
      </c>
      <c r="L9" s="139" t="s">
        <v>14</v>
      </c>
    </row>
    <row r="10" customHeight="1" spans="1:12">
      <c r="A10" s="139"/>
      <c r="B10" s="139">
        <v>26</v>
      </c>
      <c r="C10" s="142" t="s">
        <v>15</v>
      </c>
      <c r="D10" s="139"/>
      <c r="E10" s="139"/>
      <c r="F10" s="139"/>
      <c r="G10" s="139"/>
      <c r="H10" s="139" t="str">
        <f t="shared" si="1"/>
        <v/>
      </c>
      <c r="I10" s="140" t="str">
        <f t="shared" si="0"/>
        <v/>
      </c>
      <c r="J10" s="139" t="s">
        <v>12</v>
      </c>
      <c r="K10" s="139" t="s">
        <v>13</v>
      </c>
      <c r="L10" s="139" t="s">
        <v>14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5"/>
  <sheetViews>
    <sheetView workbookViewId="0">
      <selection activeCell="M307" sqref="M307"/>
    </sheetView>
  </sheetViews>
  <sheetFormatPr defaultColWidth="8.88888888888889" defaultRowHeight="13.8"/>
  <cols>
    <col min="1" max="15" width="8.11111111111111" style="26" customWidth="1"/>
    <col min="16" max="16384" width="8.88888888888889" style="26"/>
  </cols>
  <sheetData>
    <row r="1" ht="19.8" spans="1:15">
      <c r="A1" s="27" t="s">
        <v>16</v>
      </c>
      <c r="B1" s="28"/>
      <c r="C1" s="28"/>
      <c r="D1" s="28"/>
      <c r="E1" s="29"/>
      <c r="F1" s="29"/>
      <c r="G1" s="29"/>
      <c r="H1" s="29"/>
      <c r="I1" s="29"/>
      <c r="J1" s="29"/>
      <c r="K1" s="29"/>
      <c r="L1" s="30" t="s">
        <v>17</v>
      </c>
      <c r="M1" s="30"/>
      <c r="N1" s="30"/>
      <c r="O1" s="31"/>
    </row>
    <row r="2" customHeight="1" spans="1:15">
      <c r="A2" s="39"/>
      <c r="H2" s="75" t="s">
        <v>18</v>
      </c>
      <c r="I2" s="75" t="s">
        <v>19</v>
      </c>
      <c r="J2" s="75" t="s">
        <v>20</v>
      </c>
      <c r="O2" s="41"/>
    </row>
    <row r="3" customHeight="1" spans="1:15">
      <c r="A3" s="76">
        <f>List!F2</f>
        <v>0</v>
      </c>
      <c r="B3" s="77"/>
      <c r="C3" s="77"/>
      <c r="E3" s="77">
        <f>List!G2</f>
        <v>0</v>
      </c>
      <c r="F3" s="77"/>
      <c r="H3" s="62"/>
      <c r="I3" s="78" t="s">
        <v>21</v>
      </c>
      <c r="J3" s="78"/>
      <c r="L3" s="79" t="s">
        <v>22</v>
      </c>
      <c r="M3" s="80"/>
      <c r="N3" s="81" t="str">
        <f>List!I2</f>
        <v/>
      </c>
      <c r="O3" s="82"/>
    </row>
    <row r="4" customHeight="1" spans="1:15">
      <c r="A4" s="39" t="s">
        <v>5</v>
      </c>
      <c r="E4" s="26" t="s">
        <v>6</v>
      </c>
      <c r="L4" s="26" t="s">
        <v>23</v>
      </c>
      <c r="N4" s="26" t="s">
        <v>24</v>
      </c>
      <c r="O4" s="41"/>
    </row>
    <row r="5" customHeight="1" spans="1:15">
      <c r="A5" s="39"/>
      <c r="H5" s="83" t="s">
        <v>25</v>
      </c>
      <c r="I5" s="84"/>
      <c r="J5" s="85"/>
      <c r="L5" s="80"/>
      <c r="M5" s="80"/>
      <c r="N5" s="86"/>
      <c r="O5" s="87"/>
    </row>
    <row r="6" customHeight="1" spans="1:15">
      <c r="A6" s="88"/>
      <c r="B6" s="89" t="s">
        <v>26</v>
      </c>
      <c r="C6" s="80"/>
      <c r="E6" s="90">
        <f>List!E2</f>
        <v>0</v>
      </c>
      <c r="F6" s="80"/>
      <c r="H6" s="91"/>
      <c r="I6" s="92"/>
      <c r="J6" s="93"/>
      <c r="L6" s="26" t="s">
        <v>27</v>
      </c>
      <c r="N6" s="26" t="s">
        <v>28</v>
      </c>
      <c r="O6" s="41"/>
    </row>
    <row r="7" s="24" customFormat="1" customHeight="1" spans="1:15">
      <c r="A7" s="94" t="s">
        <v>29</v>
      </c>
      <c r="E7" s="24" t="s">
        <v>4</v>
      </c>
      <c r="H7" s="95"/>
      <c r="I7" s="96"/>
      <c r="J7" s="97"/>
      <c r="O7" s="98"/>
    </row>
    <row r="8" s="24" customFormat="1" customHeight="1" spans="1:15">
      <c r="A8" s="94"/>
      <c r="H8" s="99"/>
      <c r="J8" s="99"/>
      <c r="O8" s="98"/>
    </row>
    <row r="9" s="25" customFormat="1" customHeight="1" spans="1:15">
      <c r="A9" s="100"/>
      <c r="C9" s="101"/>
      <c r="D9" s="102" t="s">
        <v>30</v>
      </c>
      <c r="E9" s="103"/>
      <c r="F9" s="104">
        <v>1</v>
      </c>
      <c r="G9" s="104">
        <v>2</v>
      </c>
      <c r="H9" s="104">
        <v>3</v>
      </c>
      <c r="I9" s="104">
        <v>4</v>
      </c>
      <c r="J9" s="104">
        <v>5</v>
      </c>
      <c r="K9" s="104">
        <v>6</v>
      </c>
      <c r="L9" s="104">
        <v>7</v>
      </c>
      <c r="M9" s="104">
        <v>8</v>
      </c>
      <c r="N9" s="104">
        <v>9</v>
      </c>
      <c r="O9" s="105">
        <v>10</v>
      </c>
    </row>
    <row r="10" customHeight="1" spans="1:15">
      <c r="A10" s="106" t="str">
        <f>List!L2</f>
        <v>SL</v>
      </c>
      <c r="B10" s="90"/>
      <c r="C10" s="101"/>
      <c r="D10" s="53">
        <f>D15</f>
        <v>600000</v>
      </c>
      <c r="E10" s="54"/>
      <c r="F10" s="62"/>
      <c r="G10" s="107"/>
      <c r="H10" s="108"/>
      <c r="I10" s="62"/>
      <c r="J10" s="62"/>
      <c r="K10" s="62"/>
      <c r="L10" s="62"/>
      <c r="M10" s="62"/>
      <c r="N10" s="62"/>
      <c r="O10" s="63"/>
    </row>
    <row r="11" customHeight="1" spans="1:15">
      <c r="A11" s="39" t="s">
        <v>31</v>
      </c>
      <c r="C11" s="101"/>
      <c r="D11" s="109"/>
      <c r="E11" s="110"/>
      <c r="F11" s="62"/>
      <c r="G11" s="107"/>
      <c r="H11" s="62"/>
      <c r="I11" s="62"/>
      <c r="J11" s="62"/>
      <c r="K11" s="62"/>
      <c r="L11" s="62"/>
      <c r="M11" s="62"/>
      <c r="N11" s="62"/>
      <c r="O11" s="63"/>
    </row>
    <row r="12" customHeight="1" spans="1:15">
      <c r="A12" s="39"/>
      <c r="D12" s="109"/>
      <c r="E12" s="110"/>
      <c r="F12" s="62"/>
      <c r="G12" s="62"/>
      <c r="H12" s="62"/>
      <c r="I12" s="62"/>
      <c r="J12" s="62"/>
      <c r="K12" s="62"/>
      <c r="L12" s="62"/>
      <c r="M12" s="62"/>
      <c r="N12" s="62"/>
      <c r="O12" s="63"/>
    </row>
    <row r="13" customHeight="1" spans="1:15">
      <c r="A13" s="39"/>
      <c r="O13" s="41"/>
    </row>
    <row r="14" ht="11.4" customHeight="1" spans="1:15">
      <c r="A14" s="111" t="s">
        <v>32</v>
      </c>
      <c r="B14" s="112"/>
      <c r="C14" s="113"/>
      <c r="D14" s="114" t="s">
        <v>33</v>
      </c>
      <c r="E14" s="113"/>
      <c r="F14" s="114" t="s">
        <v>34</v>
      </c>
      <c r="G14" s="112"/>
      <c r="H14" s="113"/>
      <c r="I14" s="115" t="s">
        <v>35</v>
      </c>
      <c r="J14" s="116" t="s">
        <v>36</v>
      </c>
      <c r="K14" s="114" t="s">
        <v>37</v>
      </c>
      <c r="L14" s="113"/>
      <c r="M14" s="117" t="s">
        <v>38</v>
      </c>
      <c r="N14" s="114" t="s">
        <v>39</v>
      </c>
      <c r="O14" s="118"/>
    </row>
    <row r="15" ht="16.95" customHeight="1" spans="1:15">
      <c r="A15" s="51" t="str">
        <f>List!H2</f>
        <v/>
      </c>
      <c r="B15" s="54"/>
      <c r="C15" s="52"/>
      <c r="D15" s="53">
        <v>600000</v>
      </c>
      <c r="E15" s="54"/>
      <c r="F15" s="53" t="str">
        <f>List!J2</f>
        <v>FRESH  GINGER</v>
      </c>
      <c r="G15" s="54"/>
      <c r="H15" s="54"/>
      <c r="I15" s="55" t="s">
        <v>40</v>
      </c>
      <c r="J15" s="55" t="s">
        <v>41</v>
      </c>
      <c r="K15" s="53" t="str">
        <f>List!K2</f>
        <v>Santao</v>
      </c>
      <c r="L15" s="54"/>
      <c r="M15" s="55"/>
      <c r="N15" s="53"/>
      <c r="O15" s="70"/>
    </row>
    <row r="16" ht="18" customHeight="1" spans="1:15">
      <c r="A16" s="119">
        <v>1</v>
      </c>
      <c r="B16" s="120">
        <v>2</v>
      </c>
      <c r="C16" s="120">
        <v>3</v>
      </c>
      <c r="D16" s="121">
        <v>9</v>
      </c>
      <c r="E16" s="121">
        <v>5</v>
      </c>
      <c r="F16" s="121">
        <v>6</v>
      </c>
      <c r="G16" s="121">
        <v>7</v>
      </c>
      <c r="H16" s="121">
        <v>8</v>
      </c>
      <c r="I16" s="120">
        <v>9</v>
      </c>
      <c r="J16" s="120">
        <v>10</v>
      </c>
      <c r="K16" s="120">
        <v>11</v>
      </c>
      <c r="L16" s="120">
        <v>12</v>
      </c>
      <c r="M16" s="120">
        <v>13</v>
      </c>
      <c r="N16" s="120">
        <v>14</v>
      </c>
      <c r="O16" s="122">
        <v>15</v>
      </c>
    </row>
    <row r="17" ht="18" customHeight="1" spans="1:15">
      <c r="A17" s="123">
        <v>16</v>
      </c>
      <c r="B17" s="121">
        <v>17</v>
      </c>
      <c r="C17" s="121">
        <v>18</v>
      </c>
      <c r="D17" s="121">
        <v>19</v>
      </c>
      <c r="E17" s="121">
        <v>20</v>
      </c>
      <c r="F17" s="124">
        <v>21</v>
      </c>
      <c r="G17" s="124">
        <v>22</v>
      </c>
      <c r="H17" s="124">
        <v>23</v>
      </c>
      <c r="I17" s="124">
        <v>24</v>
      </c>
      <c r="J17" s="124">
        <v>25</v>
      </c>
      <c r="K17" s="124">
        <v>26</v>
      </c>
      <c r="L17" s="124">
        <v>27</v>
      </c>
      <c r="M17" s="124">
        <v>28</v>
      </c>
      <c r="N17" s="124">
        <v>29</v>
      </c>
      <c r="O17" s="125">
        <v>30</v>
      </c>
    </row>
    <row r="18" ht="10.95" customHeight="1" spans="1:15">
      <c r="A18" s="123">
        <v>31</v>
      </c>
      <c r="B18" s="121">
        <v>32</v>
      </c>
      <c r="C18" s="121">
        <v>33</v>
      </c>
      <c r="D18" s="121">
        <v>34</v>
      </c>
      <c r="E18" s="126">
        <v>35</v>
      </c>
      <c r="F18" s="114" t="s">
        <v>42</v>
      </c>
      <c r="G18" s="112"/>
      <c r="H18" s="116" t="s">
        <v>43</v>
      </c>
      <c r="I18" s="114" t="s">
        <v>44</v>
      </c>
      <c r="J18" s="112"/>
      <c r="K18" s="116" t="s">
        <v>45</v>
      </c>
      <c r="L18" s="116" t="s">
        <v>46</v>
      </c>
      <c r="M18" s="116" t="s">
        <v>47</v>
      </c>
      <c r="N18" s="116" t="s">
        <v>48</v>
      </c>
      <c r="O18" s="127" t="s">
        <v>49</v>
      </c>
    </row>
    <row r="19" ht="10.2" customHeight="1" spans="1:15">
      <c r="A19" s="123"/>
      <c r="B19" s="121"/>
      <c r="C19" s="121"/>
      <c r="D19" s="121"/>
      <c r="E19" s="126"/>
      <c r="F19" s="128"/>
      <c r="G19" s="129"/>
      <c r="H19" s="130"/>
      <c r="I19" s="128"/>
      <c r="J19" s="129"/>
      <c r="K19" s="130"/>
      <c r="L19" s="130"/>
      <c r="M19" s="130"/>
      <c r="N19" s="130"/>
      <c r="O19" s="131"/>
    </row>
    <row r="20" ht="9.9" customHeight="1" spans="1:15">
      <c r="A20" s="39"/>
      <c r="O20" s="41"/>
    </row>
    <row r="21" ht="10.5" customHeight="1" spans="1:15">
      <c r="A21" s="111" t="s">
        <v>32</v>
      </c>
      <c r="B21" s="112"/>
      <c r="C21" s="113"/>
      <c r="D21" s="114" t="s">
        <v>33</v>
      </c>
      <c r="E21" s="113"/>
      <c r="F21" s="114" t="s">
        <v>34</v>
      </c>
      <c r="G21" s="112"/>
      <c r="H21" s="113"/>
      <c r="I21" s="115" t="s">
        <v>35</v>
      </c>
      <c r="J21" s="116" t="s">
        <v>36</v>
      </c>
      <c r="K21" s="114" t="s">
        <v>37</v>
      </c>
      <c r="L21" s="113"/>
      <c r="M21" s="117" t="s">
        <v>38</v>
      </c>
      <c r="N21" s="114" t="s">
        <v>39</v>
      </c>
      <c r="O21" s="118"/>
    </row>
    <row r="22" ht="15" customHeight="1" spans="1:15">
      <c r="A22" s="51"/>
      <c r="B22" s="54"/>
      <c r="C22" s="54"/>
      <c r="D22" s="53"/>
      <c r="E22" s="54"/>
      <c r="F22" s="53"/>
      <c r="G22" s="54"/>
      <c r="H22" s="54"/>
      <c r="I22" s="55"/>
      <c r="J22" s="55"/>
      <c r="K22" s="53"/>
      <c r="L22" s="54"/>
      <c r="M22" s="55"/>
      <c r="N22" s="53"/>
      <c r="O22" s="70"/>
    </row>
    <row r="23" ht="17.4" customHeight="1" spans="1:15">
      <c r="A23" s="123">
        <v>1</v>
      </c>
      <c r="B23" s="121">
        <v>2</v>
      </c>
      <c r="C23" s="121">
        <v>3</v>
      </c>
      <c r="D23" s="121">
        <v>4</v>
      </c>
      <c r="E23" s="121">
        <v>5</v>
      </c>
      <c r="F23" s="121">
        <v>6</v>
      </c>
      <c r="G23" s="121">
        <v>7</v>
      </c>
      <c r="H23" s="121">
        <v>8</v>
      </c>
      <c r="I23" s="121">
        <v>9</v>
      </c>
      <c r="J23" s="121">
        <v>10</v>
      </c>
      <c r="K23" s="121">
        <v>11</v>
      </c>
      <c r="L23" s="121">
        <v>12</v>
      </c>
      <c r="M23" s="121">
        <v>13</v>
      </c>
      <c r="N23" s="121">
        <v>14</v>
      </c>
      <c r="O23" s="132">
        <v>15</v>
      </c>
    </row>
    <row r="24" ht="17.4" customHeight="1" spans="1:15">
      <c r="A24" s="123">
        <v>16</v>
      </c>
      <c r="B24" s="121">
        <v>17</v>
      </c>
      <c r="C24" s="121">
        <v>18</v>
      </c>
      <c r="D24" s="121">
        <v>19</v>
      </c>
      <c r="E24" s="121">
        <v>20</v>
      </c>
      <c r="F24" s="121">
        <v>21</v>
      </c>
      <c r="G24" s="121">
        <v>22</v>
      </c>
      <c r="H24" s="121">
        <v>23</v>
      </c>
      <c r="I24" s="121">
        <v>24</v>
      </c>
      <c r="J24" s="121">
        <v>25</v>
      </c>
      <c r="K24" s="121">
        <v>26</v>
      </c>
      <c r="L24" s="121">
        <v>27</v>
      </c>
      <c r="M24" s="121">
        <v>28</v>
      </c>
      <c r="N24" s="121">
        <v>29</v>
      </c>
      <c r="O24" s="132">
        <v>30</v>
      </c>
    </row>
    <row r="25" ht="10.95" customHeight="1" spans="1:15">
      <c r="A25" s="123">
        <v>31</v>
      </c>
      <c r="B25" s="121">
        <v>32</v>
      </c>
      <c r="C25" s="121">
        <v>33</v>
      </c>
      <c r="D25" s="121">
        <v>34</v>
      </c>
      <c r="E25" s="126">
        <v>35</v>
      </c>
      <c r="F25" s="114" t="s">
        <v>42</v>
      </c>
      <c r="G25" s="112"/>
      <c r="H25" s="116" t="s">
        <v>43</v>
      </c>
      <c r="I25" s="114" t="s">
        <v>44</v>
      </c>
      <c r="J25" s="112"/>
      <c r="K25" s="116" t="s">
        <v>45</v>
      </c>
      <c r="L25" s="116" t="s">
        <v>46</v>
      </c>
      <c r="M25" s="116" t="s">
        <v>47</v>
      </c>
      <c r="N25" s="116" t="s">
        <v>48</v>
      </c>
      <c r="O25" s="127" t="s">
        <v>49</v>
      </c>
    </row>
    <row r="26" ht="9.6" customHeight="1" spans="1:15">
      <c r="A26" s="123"/>
      <c r="B26" s="121"/>
      <c r="C26" s="121"/>
      <c r="D26" s="121"/>
      <c r="E26" s="126"/>
      <c r="F26" s="128"/>
      <c r="G26" s="129"/>
      <c r="H26" s="130"/>
      <c r="I26" s="128"/>
      <c r="J26" s="129"/>
      <c r="K26" s="130"/>
      <c r="L26" s="130"/>
      <c r="M26" s="130"/>
      <c r="N26" s="130"/>
      <c r="O26" s="131"/>
    </row>
    <row r="27" ht="9.9" customHeight="1" spans="1:15">
      <c r="A27" s="39"/>
      <c r="O27" s="41"/>
    </row>
    <row r="28" ht="10.5" customHeight="1" spans="1:15">
      <c r="A28" s="111" t="s">
        <v>32</v>
      </c>
      <c r="B28" s="112"/>
      <c r="C28" s="113"/>
      <c r="D28" s="114" t="s">
        <v>33</v>
      </c>
      <c r="E28" s="113"/>
      <c r="F28" s="114" t="s">
        <v>34</v>
      </c>
      <c r="G28" s="112"/>
      <c r="H28" s="113"/>
      <c r="I28" s="115" t="s">
        <v>35</v>
      </c>
      <c r="J28" s="116" t="s">
        <v>36</v>
      </c>
      <c r="K28" s="114" t="s">
        <v>37</v>
      </c>
      <c r="L28" s="113"/>
      <c r="M28" s="117" t="s">
        <v>38</v>
      </c>
      <c r="N28" s="114" t="s">
        <v>39</v>
      </c>
      <c r="O28" s="118"/>
    </row>
    <row r="29" ht="17.4" customHeight="1" spans="1:15">
      <c r="A29" s="51"/>
      <c r="B29" s="54"/>
      <c r="C29" s="54"/>
      <c r="D29" s="53"/>
      <c r="E29" s="54"/>
      <c r="F29" s="53"/>
      <c r="G29" s="54"/>
      <c r="H29" s="54"/>
      <c r="I29" s="55"/>
      <c r="J29" s="55"/>
      <c r="K29" s="53"/>
      <c r="L29" s="54"/>
      <c r="M29" s="55"/>
      <c r="N29" s="53"/>
      <c r="O29" s="70"/>
    </row>
    <row r="30" ht="18.6" customHeight="1" spans="1:15">
      <c r="A30" s="123">
        <v>1</v>
      </c>
      <c r="B30" s="121">
        <v>2</v>
      </c>
      <c r="C30" s="121">
        <v>3</v>
      </c>
      <c r="D30" s="121">
        <v>4</v>
      </c>
      <c r="E30" s="121">
        <v>5</v>
      </c>
      <c r="F30" s="121">
        <v>6</v>
      </c>
      <c r="G30" s="121">
        <v>7</v>
      </c>
      <c r="H30" s="121">
        <v>8</v>
      </c>
      <c r="I30" s="121">
        <v>9</v>
      </c>
      <c r="J30" s="121">
        <v>10</v>
      </c>
      <c r="K30" s="121">
        <v>11</v>
      </c>
      <c r="L30" s="121">
        <v>12</v>
      </c>
      <c r="M30" s="121">
        <v>13</v>
      </c>
      <c r="N30" s="121">
        <v>14</v>
      </c>
      <c r="O30" s="132">
        <v>15</v>
      </c>
    </row>
    <row r="31" ht="18.6" customHeight="1" spans="1:15">
      <c r="A31" s="123">
        <v>16</v>
      </c>
      <c r="B31" s="121">
        <v>17</v>
      </c>
      <c r="C31" s="121">
        <v>18</v>
      </c>
      <c r="D31" s="121">
        <v>19</v>
      </c>
      <c r="E31" s="121">
        <v>20</v>
      </c>
      <c r="F31" s="121">
        <v>21</v>
      </c>
      <c r="G31" s="121">
        <v>22</v>
      </c>
      <c r="H31" s="121">
        <v>23</v>
      </c>
      <c r="I31" s="121">
        <v>24</v>
      </c>
      <c r="J31" s="121">
        <v>25</v>
      </c>
      <c r="K31" s="121">
        <v>26</v>
      </c>
      <c r="L31" s="121">
        <v>27</v>
      </c>
      <c r="M31" s="121">
        <v>28</v>
      </c>
      <c r="N31" s="121">
        <v>29</v>
      </c>
      <c r="O31" s="132">
        <v>30</v>
      </c>
    </row>
    <row r="32" ht="10.95" customHeight="1" spans="1:15">
      <c r="A32" s="123">
        <v>31</v>
      </c>
      <c r="B32" s="121">
        <v>32</v>
      </c>
      <c r="C32" s="121">
        <v>33</v>
      </c>
      <c r="D32" s="121">
        <v>34</v>
      </c>
      <c r="E32" s="126">
        <v>35</v>
      </c>
      <c r="F32" s="114" t="s">
        <v>42</v>
      </c>
      <c r="G32" s="112"/>
      <c r="H32" s="116" t="s">
        <v>43</v>
      </c>
      <c r="I32" s="114" t="s">
        <v>44</v>
      </c>
      <c r="J32" s="112"/>
      <c r="K32" s="116" t="s">
        <v>45</v>
      </c>
      <c r="L32" s="116" t="s">
        <v>46</v>
      </c>
      <c r="M32" s="116" t="s">
        <v>47</v>
      </c>
      <c r="N32" s="116" t="s">
        <v>48</v>
      </c>
      <c r="O32" s="127" t="s">
        <v>49</v>
      </c>
    </row>
    <row r="33" ht="15.45" customHeight="1" spans="1:15">
      <c r="A33" s="123"/>
      <c r="B33" s="121"/>
      <c r="C33" s="121"/>
      <c r="D33" s="121"/>
      <c r="E33" s="126"/>
      <c r="F33" s="128"/>
      <c r="G33" s="129"/>
      <c r="H33" s="130"/>
      <c r="I33" s="128"/>
      <c r="J33" s="129"/>
      <c r="K33" s="130"/>
      <c r="L33" s="130"/>
      <c r="M33" s="130"/>
      <c r="N33" s="130"/>
      <c r="O33" s="131"/>
    </row>
    <row r="34" ht="9.6" customHeight="1" spans="1:15">
      <c r="A34" s="39"/>
      <c r="O34" s="41"/>
    </row>
    <row r="35" s="24" customFormat="1" ht="19.35" customHeight="1" spans="1:15">
      <c r="A35" s="133" t="s">
        <v>50</v>
      </c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5"/>
    </row>
    <row r="36" ht="19.8" spans="1:15">
      <c r="A36" s="27" t="s">
        <v>16</v>
      </c>
      <c r="B36" s="28"/>
      <c r="C36" s="28"/>
      <c r="D36" s="28"/>
      <c r="E36" s="29"/>
      <c r="F36" s="29"/>
      <c r="G36" s="29"/>
      <c r="H36" s="29"/>
      <c r="I36" s="29"/>
      <c r="J36" s="29"/>
      <c r="K36" s="29"/>
      <c r="L36" s="30" t="s">
        <v>17</v>
      </c>
      <c r="M36" s="30"/>
      <c r="N36" s="30"/>
      <c r="O36" s="31"/>
    </row>
    <row r="37" customHeight="1" spans="1:15">
      <c r="A37" s="39"/>
      <c r="H37" s="75" t="s">
        <v>18</v>
      </c>
      <c r="I37" s="75" t="s">
        <v>19</v>
      </c>
      <c r="J37" s="75" t="s">
        <v>20</v>
      </c>
      <c r="O37" s="41"/>
    </row>
    <row r="38" customHeight="1" spans="1:15">
      <c r="A38" s="76">
        <f>List!F3</f>
        <v>0</v>
      </c>
      <c r="B38" s="77"/>
      <c r="C38" s="77"/>
      <c r="E38" s="77">
        <f>List!G3</f>
        <v>0</v>
      </c>
      <c r="F38" s="77"/>
      <c r="H38" s="62"/>
      <c r="I38" s="78" t="s">
        <v>21</v>
      </c>
      <c r="J38" s="78"/>
      <c r="L38" s="79" t="s">
        <v>22</v>
      </c>
      <c r="M38" s="80"/>
      <c r="N38" s="81" t="str">
        <f>List!I3</f>
        <v/>
      </c>
      <c r="O38" s="82"/>
    </row>
    <row r="39" customHeight="1" spans="1:15">
      <c r="A39" s="39" t="s">
        <v>5</v>
      </c>
      <c r="E39" s="26" t="s">
        <v>6</v>
      </c>
      <c r="L39" s="26" t="s">
        <v>23</v>
      </c>
      <c r="N39" s="26" t="s">
        <v>24</v>
      </c>
      <c r="O39" s="41"/>
    </row>
    <row r="40" customHeight="1" spans="1:15">
      <c r="A40" s="39"/>
      <c r="H40" s="83" t="s">
        <v>25</v>
      </c>
      <c r="I40" s="84"/>
      <c r="J40" s="85"/>
      <c r="L40" s="80"/>
      <c r="M40" s="80"/>
      <c r="N40" s="86"/>
      <c r="O40" s="87"/>
    </row>
    <row r="41" customHeight="1" spans="1:15">
      <c r="A41" s="88"/>
      <c r="B41" s="89" t="s">
        <v>26</v>
      </c>
      <c r="C41" s="80"/>
      <c r="E41" s="90">
        <f>List!E3</f>
        <v>0</v>
      </c>
      <c r="F41" s="80"/>
      <c r="H41" s="91"/>
      <c r="I41" s="92"/>
      <c r="J41" s="93"/>
      <c r="L41" s="26" t="s">
        <v>27</v>
      </c>
      <c r="N41" s="26" t="s">
        <v>28</v>
      </c>
      <c r="O41" s="41"/>
    </row>
    <row r="42" s="24" customFormat="1" customHeight="1" spans="1:15">
      <c r="A42" s="94" t="s">
        <v>29</v>
      </c>
      <c r="E42" s="24" t="s">
        <v>4</v>
      </c>
      <c r="H42" s="95"/>
      <c r="I42" s="96"/>
      <c r="J42" s="97"/>
      <c r="O42" s="98"/>
    </row>
    <row r="43" s="24" customFormat="1" customHeight="1" spans="1:15">
      <c r="A43" s="94"/>
      <c r="H43" s="99"/>
      <c r="J43" s="99"/>
      <c r="O43" s="98"/>
    </row>
    <row r="44" s="25" customFormat="1" customHeight="1" spans="1:15">
      <c r="A44" s="100"/>
      <c r="C44" s="101"/>
      <c r="D44" s="102" t="s">
        <v>30</v>
      </c>
      <c r="E44" s="103"/>
      <c r="F44" s="104">
        <v>1</v>
      </c>
      <c r="G44" s="104">
        <v>2</v>
      </c>
      <c r="H44" s="104">
        <v>3</v>
      </c>
      <c r="I44" s="104">
        <v>4</v>
      </c>
      <c r="J44" s="104">
        <v>5</v>
      </c>
      <c r="K44" s="104">
        <v>6</v>
      </c>
      <c r="L44" s="104">
        <v>7</v>
      </c>
      <c r="M44" s="104">
        <v>8</v>
      </c>
      <c r="N44" s="104">
        <v>9</v>
      </c>
      <c r="O44" s="105">
        <v>10</v>
      </c>
    </row>
    <row r="45" customHeight="1" spans="1:15">
      <c r="A45" s="106" t="str">
        <f>List!L3</f>
        <v>SL</v>
      </c>
      <c r="B45" s="90"/>
      <c r="C45" s="101"/>
      <c r="D45" s="53">
        <v>600000</v>
      </c>
      <c r="E45" s="54"/>
      <c r="F45" s="62"/>
      <c r="G45" s="107"/>
      <c r="H45" s="108"/>
      <c r="I45" s="62"/>
      <c r="J45" s="62"/>
      <c r="K45" s="62"/>
      <c r="L45" s="62"/>
      <c r="M45" s="62"/>
      <c r="N45" s="62"/>
      <c r="O45" s="63"/>
    </row>
    <row r="46" customHeight="1" spans="1:15">
      <c r="A46" s="39" t="s">
        <v>31</v>
      </c>
      <c r="C46" s="101"/>
      <c r="D46" s="109"/>
      <c r="E46" s="110"/>
      <c r="F46" s="62"/>
      <c r="G46" s="107"/>
      <c r="H46" s="62"/>
      <c r="I46" s="62"/>
      <c r="J46" s="62"/>
      <c r="K46" s="62"/>
      <c r="L46" s="62"/>
      <c r="M46" s="62"/>
      <c r="N46" s="62"/>
      <c r="O46" s="63"/>
    </row>
    <row r="47" customHeight="1" spans="1:15">
      <c r="A47" s="39"/>
      <c r="D47" s="109"/>
      <c r="E47" s="110"/>
      <c r="F47" s="62"/>
      <c r="G47" s="62"/>
      <c r="H47" s="62"/>
      <c r="I47" s="62"/>
      <c r="J47" s="62"/>
      <c r="K47" s="62"/>
      <c r="L47" s="62"/>
      <c r="M47" s="62"/>
      <c r="N47" s="62"/>
      <c r="O47" s="63"/>
    </row>
    <row r="48" customHeight="1" spans="1:15">
      <c r="A48" s="39"/>
      <c r="O48" s="41"/>
    </row>
    <row r="49" ht="11.4" customHeight="1" spans="1:15">
      <c r="A49" s="111" t="s">
        <v>32</v>
      </c>
      <c r="B49" s="112"/>
      <c r="C49" s="113"/>
      <c r="D49" s="114" t="s">
        <v>33</v>
      </c>
      <c r="E49" s="113"/>
      <c r="F49" s="114" t="s">
        <v>34</v>
      </c>
      <c r="G49" s="112"/>
      <c r="H49" s="113"/>
      <c r="I49" s="115" t="s">
        <v>35</v>
      </c>
      <c r="J49" s="116" t="s">
        <v>36</v>
      </c>
      <c r="K49" s="114" t="s">
        <v>37</v>
      </c>
      <c r="L49" s="113"/>
      <c r="M49" s="117" t="s">
        <v>38</v>
      </c>
      <c r="N49" s="114" t="s">
        <v>39</v>
      </c>
      <c r="O49" s="118"/>
    </row>
    <row r="50" ht="16.95" customHeight="1" spans="1:15">
      <c r="A50" s="51" t="str">
        <f>List!H3</f>
        <v/>
      </c>
      <c r="B50" s="54"/>
      <c r="C50" s="52"/>
      <c r="D50" s="53">
        <v>600000</v>
      </c>
      <c r="E50" s="54"/>
      <c r="F50" s="53" t="str">
        <f>List!J3</f>
        <v>FRESH  GINGER</v>
      </c>
      <c r="G50" s="54"/>
      <c r="H50" s="54"/>
      <c r="I50" s="55" t="s">
        <v>40</v>
      </c>
      <c r="J50" s="55" t="s">
        <v>41</v>
      </c>
      <c r="K50" s="53" t="str">
        <f>List!K3</f>
        <v>Santao</v>
      </c>
      <c r="L50" s="54"/>
      <c r="M50" s="55"/>
      <c r="N50" s="53"/>
      <c r="O50" s="70"/>
    </row>
    <row r="51" ht="18" customHeight="1" spans="1:15">
      <c r="A51" s="119">
        <v>1</v>
      </c>
      <c r="B51" s="120">
        <v>2</v>
      </c>
      <c r="C51" s="120">
        <v>3</v>
      </c>
      <c r="D51" s="121">
        <v>9</v>
      </c>
      <c r="E51" s="121">
        <v>5</v>
      </c>
      <c r="F51" s="121">
        <v>6</v>
      </c>
      <c r="G51" s="121">
        <v>7</v>
      </c>
      <c r="H51" s="121">
        <v>8</v>
      </c>
      <c r="I51" s="120">
        <v>9</v>
      </c>
      <c r="J51" s="120">
        <v>10</v>
      </c>
      <c r="K51" s="120">
        <v>11</v>
      </c>
      <c r="L51" s="120">
        <v>12</v>
      </c>
      <c r="M51" s="120">
        <v>13</v>
      </c>
      <c r="N51" s="120">
        <v>14</v>
      </c>
      <c r="O51" s="122">
        <v>15</v>
      </c>
    </row>
    <row r="52" ht="18" customHeight="1" spans="1:15">
      <c r="A52" s="123">
        <v>16</v>
      </c>
      <c r="B52" s="121">
        <v>17</v>
      </c>
      <c r="C52" s="121">
        <v>18</v>
      </c>
      <c r="D52" s="121">
        <v>19</v>
      </c>
      <c r="E52" s="121">
        <v>20</v>
      </c>
      <c r="F52" s="124">
        <v>21</v>
      </c>
      <c r="G52" s="124">
        <v>22</v>
      </c>
      <c r="H52" s="124">
        <v>23</v>
      </c>
      <c r="I52" s="124">
        <v>24</v>
      </c>
      <c r="J52" s="124">
        <v>25</v>
      </c>
      <c r="K52" s="124">
        <v>26</v>
      </c>
      <c r="L52" s="124">
        <v>27</v>
      </c>
      <c r="M52" s="124">
        <v>28</v>
      </c>
      <c r="N52" s="124">
        <v>29</v>
      </c>
      <c r="O52" s="125">
        <v>30</v>
      </c>
    </row>
    <row r="53" ht="10.95" customHeight="1" spans="1:15">
      <c r="A53" s="123">
        <v>31</v>
      </c>
      <c r="B53" s="121">
        <v>32</v>
      </c>
      <c r="C53" s="121">
        <v>33</v>
      </c>
      <c r="D53" s="121">
        <v>34</v>
      </c>
      <c r="E53" s="126">
        <v>35</v>
      </c>
      <c r="F53" s="114" t="s">
        <v>42</v>
      </c>
      <c r="G53" s="112"/>
      <c r="H53" s="116" t="s">
        <v>43</v>
      </c>
      <c r="I53" s="114" t="s">
        <v>44</v>
      </c>
      <c r="J53" s="112"/>
      <c r="K53" s="116" t="s">
        <v>45</v>
      </c>
      <c r="L53" s="116" t="s">
        <v>46</v>
      </c>
      <c r="M53" s="116" t="s">
        <v>47</v>
      </c>
      <c r="N53" s="116" t="s">
        <v>48</v>
      </c>
      <c r="O53" s="127" t="s">
        <v>49</v>
      </c>
    </row>
    <row r="54" ht="10.2" customHeight="1" spans="1:15">
      <c r="A54" s="123"/>
      <c r="B54" s="121"/>
      <c r="C54" s="121"/>
      <c r="D54" s="121"/>
      <c r="E54" s="126"/>
      <c r="F54" s="128"/>
      <c r="G54" s="129"/>
      <c r="H54" s="130"/>
      <c r="I54" s="128"/>
      <c r="J54" s="129"/>
      <c r="K54" s="130"/>
      <c r="L54" s="130"/>
      <c r="M54" s="130"/>
      <c r="N54" s="130"/>
      <c r="O54" s="131"/>
    </row>
    <row r="55" ht="9.9" customHeight="1" spans="1:15">
      <c r="A55" s="39"/>
      <c r="O55" s="41"/>
    </row>
    <row r="56" ht="10.5" customHeight="1" spans="1:15">
      <c r="A56" s="111" t="s">
        <v>32</v>
      </c>
      <c r="B56" s="112"/>
      <c r="C56" s="113"/>
      <c r="D56" s="114" t="s">
        <v>33</v>
      </c>
      <c r="E56" s="113"/>
      <c r="F56" s="114" t="s">
        <v>34</v>
      </c>
      <c r="G56" s="112"/>
      <c r="H56" s="113"/>
      <c r="I56" s="115" t="s">
        <v>35</v>
      </c>
      <c r="J56" s="116" t="s">
        <v>36</v>
      </c>
      <c r="K56" s="114" t="s">
        <v>37</v>
      </c>
      <c r="L56" s="113"/>
      <c r="M56" s="117" t="s">
        <v>38</v>
      </c>
      <c r="N56" s="114" t="s">
        <v>39</v>
      </c>
      <c r="O56" s="118"/>
    </row>
    <row r="57" ht="15" customHeight="1" spans="1:15">
      <c r="A57" s="51"/>
      <c r="B57" s="54"/>
      <c r="C57" s="54"/>
      <c r="D57" s="53"/>
      <c r="E57" s="54"/>
      <c r="F57" s="53"/>
      <c r="G57" s="54"/>
      <c r="H57" s="54"/>
      <c r="I57" s="55"/>
      <c r="J57" s="55"/>
      <c r="K57" s="53"/>
      <c r="L57" s="54"/>
      <c r="M57" s="55"/>
      <c r="N57" s="53"/>
      <c r="O57" s="70"/>
    </row>
    <row r="58" ht="17.4" customHeight="1" spans="1:15">
      <c r="A58" s="123">
        <v>1</v>
      </c>
      <c r="B58" s="121">
        <v>2</v>
      </c>
      <c r="C58" s="121">
        <v>3</v>
      </c>
      <c r="D58" s="121">
        <v>4</v>
      </c>
      <c r="E58" s="121">
        <v>5</v>
      </c>
      <c r="F58" s="121">
        <v>6</v>
      </c>
      <c r="G58" s="121">
        <v>7</v>
      </c>
      <c r="H58" s="121">
        <v>8</v>
      </c>
      <c r="I58" s="121">
        <v>9</v>
      </c>
      <c r="J58" s="121">
        <v>10</v>
      </c>
      <c r="K58" s="121">
        <v>11</v>
      </c>
      <c r="L58" s="121">
        <v>12</v>
      </c>
      <c r="M58" s="121">
        <v>13</v>
      </c>
      <c r="N58" s="121">
        <v>14</v>
      </c>
      <c r="O58" s="132">
        <v>15</v>
      </c>
    </row>
    <row r="59" ht="17.4" customHeight="1" spans="1:15">
      <c r="A59" s="123">
        <v>16</v>
      </c>
      <c r="B59" s="121">
        <v>17</v>
      </c>
      <c r="C59" s="121">
        <v>18</v>
      </c>
      <c r="D59" s="121">
        <v>19</v>
      </c>
      <c r="E59" s="121">
        <v>20</v>
      </c>
      <c r="F59" s="121">
        <v>21</v>
      </c>
      <c r="G59" s="121">
        <v>22</v>
      </c>
      <c r="H59" s="121">
        <v>23</v>
      </c>
      <c r="I59" s="121">
        <v>24</v>
      </c>
      <c r="J59" s="121">
        <v>25</v>
      </c>
      <c r="K59" s="121">
        <v>26</v>
      </c>
      <c r="L59" s="121">
        <v>27</v>
      </c>
      <c r="M59" s="121">
        <v>28</v>
      </c>
      <c r="N59" s="121">
        <v>29</v>
      </c>
      <c r="O59" s="132">
        <v>30</v>
      </c>
    </row>
    <row r="60" ht="10.95" customHeight="1" spans="1:15">
      <c r="A60" s="123">
        <v>31</v>
      </c>
      <c r="B60" s="121">
        <v>32</v>
      </c>
      <c r="C60" s="121">
        <v>33</v>
      </c>
      <c r="D60" s="121">
        <v>34</v>
      </c>
      <c r="E60" s="126">
        <v>35</v>
      </c>
      <c r="F60" s="114" t="s">
        <v>42</v>
      </c>
      <c r="G60" s="112"/>
      <c r="H60" s="116" t="s">
        <v>43</v>
      </c>
      <c r="I60" s="114" t="s">
        <v>44</v>
      </c>
      <c r="J60" s="112"/>
      <c r="K60" s="116" t="s">
        <v>45</v>
      </c>
      <c r="L60" s="116" t="s">
        <v>46</v>
      </c>
      <c r="M60" s="116" t="s">
        <v>47</v>
      </c>
      <c r="N60" s="116" t="s">
        <v>48</v>
      </c>
      <c r="O60" s="127" t="s">
        <v>49</v>
      </c>
    </row>
    <row r="61" ht="9.6" customHeight="1" spans="1:15">
      <c r="A61" s="123"/>
      <c r="B61" s="121"/>
      <c r="C61" s="121"/>
      <c r="D61" s="121"/>
      <c r="E61" s="126"/>
      <c r="F61" s="128"/>
      <c r="G61" s="129"/>
      <c r="H61" s="130"/>
      <c r="I61" s="128"/>
      <c r="J61" s="129"/>
      <c r="K61" s="130"/>
      <c r="L61" s="130"/>
      <c r="M61" s="130"/>
      <c r="N61" s="130"/>
      <c r="O61" s="131"/>
    </row>
    <row r="62" ht="9.9" customHeight="1" spans="1:15">
      <c r="A62" s="39"/>
      <c r="O62" s="41"/>
    </row>
    <row r="63" ht="10.5" customHeight="1" spans="1:15">
      <c r="A63" s="111" t="s">
        <v>32</v>
      </c>
      <c r="B63" s="112"/>
      <c r="C63" s="113"/>
      <c r="D63" s="114" t="s">
        <v>33</v>
      </c>
      <c r="E63" s="113"/>
      <c r="F63" s="114" t="s">
        <v>34</v>
      </c>
      <c r="G63" s="112"/>
      <c r="H63" s="113"/>
      <c r="I63" s="115" t="s">
        <v>35</v>
      </c>
      <c r="J63" s="116" t="s">
        <v>36</v>
      </c>
      <c r="K63" s="114" t="s">
        <v>37</v>
      </c>
      <c r="L63" s="113"/>
      <c r="M63" s="117" t="s">
        <v>38</v>
      </c>
      <c r="N63" s="114" t="s">
        <v>39</v>
      </c>
      <c r="O63" s="118"/>
    </row>
    <row r="64" ht="17.4" customHeight="1" spans="1:15">
      <c r="A64" s="51"/>
      <c r="B64" s="54"/>
      <c r="C64" s="54"/>
      <c r="D64" s="53"/>
      <c r="E64" s="54"/>
      <c r="F64" s="53"/>
      <c r="G64" s="54"/>
      <c r="H64" s="54"/>
      <c r="I64" s="55"/>
      <c r="J64" s="55"/>
      <c r="K64" s="53"/>
      <c r="L64" s="54"/>
      <c r="M64" s="55"/>
      <c r="N64" s="53"/>
      <c r="O64" s="70"/>
    </row>
    <row r="65" ht="18.6" customHeight="1" spans="1:15">
      <c r="A65" s="123">
        <v>1</v>
      </c>
      <c r="B65" s="121">
        <v>2</v>
      </c>
      <c r="C65" s="121">
        <v>3</v>
      </c>
      <c r="D65" s="121">
        <v>4</v>
      </c>
      <c r="E65" s="121">
        <v>5</v>
      </c>
      <c r="F65" s="121">
        <v>6</v>
      </c>
      <c r="G65" s="121">
        <v>7</v>
      </c>
      <c r="H65" s="121">
        <v>8</v>
      </c>
      <c r="I65" s="121">
        <v>9</v>
      </c>
      <c r="J65" s="121">
        <v>10</v>
      </c>
      <c r="K65" s="121">
        <v>11</v>
      </c>
      <c r="L65" s="121">
        <v>12</v>
      </c>
      <c r="M65" s="121">
        <v>13</v>
      </c>
      <c r="N65" s="121">
        <v>14</v>
      </c>
      <c r="O65" s="132">
        <v>15</v>
      </c>
    </row>
    <row r="66" ht="18.6" customHeight="1" spans="1:15">
      <c r="A66" s="123">
        <v>16</v>
      </c>
      <c r="B66" s="121">
        <v>17</v>
      </c>
      <c r="C66" s="121">
        <v>18</v>
      </c>
      <c r="D66" s="121">
        <v>19</v>
      </c>
      <c r="E66" s="121">
        <v>20</v>
      </c>
      <c r="F66" s="121">
        <v>21</v>
      </c>
      <c r="G66" s="121">
        <v>22</v>
      </c>
      <c r="H66" s="121">
        <v>23</v>
      </c>
      <c r="I66" s="121">
        <v>24</v>
      </c>
      <c r="J66" s="121">
        <v>25</v>
      </c>
      <c r="K66" s="121">
        <v>26</v>
      </c>
      <c r="L66" s="121">
        <v>27</v>
      </c>
      <c r="M66" s="121">
        <v>28</v>
      </c>
      <c r="N66" s="121">
        <v>29</v>
      </c>
      <c r="O66" s="132">
        <v>30</v>
      </c>
    </row>
    <row r="67" ht="10.95" customHeight="1" spans="1:15">
      <c r="A67" s="123">
        <v>31</v>
      </c>
      <c r="B67" s="121">
        <v>32</v>
      </c>
      <c r="C67" s="121">
        <v>33</v>
      </c>
      <c r="D67" s="121">
        <v>34</v>
      </c>
      <c r="E67" s="126">
        <v>35</v>
      </c>
      <c r="F67" s="114" t="s">
        <v>42</v>
      </c>
      <c r="G67" s="112"/>
      <c r="H67" s="116" t="s">
        <v>43</v>
      </c>
      <c r="I67" s="114" t="s">
        <v>44</v>
      </c>
      <c r="J67" s="112"/>
      <c r="K67" s="116" t="s">
        <v>45</v>
      </c>
      <c r="L67" s="116" t="s">
        <v>46</v>
      </c>
      <c r="M67" s="116" t="s">
        <v>47</v>
      </c>
      <c r="N67" s="116" t="s">
        <v>48</v>
      </c>
      <c r="O67" s="127" t="s">
        <v>49</v>
      </c>
    </row>
    <row r="68" ht="15.45" customHeight="1" spans="1:15">
      <c r="A68" s="123"/>
      <c r="B68" s="121"/>
      <c r="C68" s="121"/>
      <c r="D68" s="121"/>
      <c r="E68" s="126"/>
      <c r="F68" s="128"/>
      <c r="G68" s="129"/>
      <c r="H68" s="130"/>
      <c r="I68" s="128"/>
      <c r="J68" s="129"/>
      <c r="K68" s="130"/>
      <c r="L68" s="130"/>
      <c r="M68" s="130"/>
      <c r="N68" s="130"/>
      <c r="O68" s="131"/>
    </row>
    <row r="69" ht="9.6" customHeight="1" spans="1:15">
      <c r="A69" s="39"/>
      <c r="O69" s="41"/>
    </row>
    <row r="70" s="24" customFormat="1" ht="19.35" customHeight="1" spans="1:15">
      <c r="A70" s="133" t="s">
        <v>50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5"/>
    </row>
    <row r="71" ht="19.8" spans="1:15">
      <c r="A71" s="27" t="s">
        <v>16</v>
      </c>
      <c r="B71" s="28"/>
      <c r="C71" s="28"/>
      <c r="D71" s="28"/>
      <c r="E71" s="29"/>
      <c r="F71" s="29"/>
      <c r="G71" s="29"/>
      <c r="H71" s="29"/>
      <c r="I71" s="29"/>
      <c r="J71" s="29"/>
      <c r="K71" s="29"/>
      <c r="L71" s="30" t="s">
        <v>17</v>
      </c>
      <c r="M71" s="30"/>
      <c r="N71" s="30"/>
      <c r="O71" s="31"/>
    </row>
    <row r="72" customHeight="1" spans="1:15">
      <c r="A72" s="39"/>
      <c r="H72" s="75" t="s">
        <v>18</v>
      </c>
      <c r="I72" s="75" t="s">
        <v>19</v>
      </c>
      <c r="J72" s="75" t="s">
        <v>20</v>
      </c>
      <c r="O72" s="41"/>
    </row>
    <row r="73" customHeight="1" spans="1:15">
      <c r="A73" s="76">
        <f>List!F4</f>
        <v>0</v>
      </c>
      <c r="B73" s="77"/>
      <c r="C73" s="77"/>
      <c r="E73" s="77">
        <f>List!G4</f>
        <v>0</v>
      </c>
      <c r="F73" s="77"/>
      <c r="H73" s="62"/>
      <c r="I73" s="78" t="s">
        <v>21</v>
      </c>
      <c r="J73" s="78"/>
      <c r="L73" s="79" t="s">
        <v>22</v>
      </c>
      <c r="M73" s="80"/>
      <c r="N73" s="81" t="str">
        <f>List!I4</f>
        <v/>
      </c>
      <c r="O73" s="82"/>
    </row>
    <row r="74" customHeight="1" spans="1:15">
      <c r="A74" s="39" t="s">
        <v>5</v>
      </c>
      <c r="E74" s="26" t="s">
        <v>6</v>
      </c>
      <c r="L74" s="26" t="s">
        <v>23</v>
      </c>
      <c r="N74" s="26" t="s">
        <v>24</v>
      </c>
      <c r="O74" s="41"/>
    </row>
    <row r="75" customHeight="1" spans="1:15">
      <c r="A75" s="39"/>
      <c r="H75" s="83" t="s">
        <v>25</v>
      </c>
      <c r="I75" s="84"/>
      <c r="J75" s="85"/>
      <c r="L75" s="80"/>
      <c r="M75" s="80"/>
      <c r="N75" s="86"/>
      <c r="O75" s="87"/>
    </row>
    <row r="76" customHeight="1" spans="1:15">
      <c r="A76" s="88"/>
      <c r="B76" s="89" t="s">
        <v>26</v>
      </c>
      <c r="C76" s="80"/>
      <c r="E76" s="90">
        <f>List!E4</f>
        <v>0</v>
      </c>
      <c r="F76" s="80"/>
      <c r="H76" s="91"/>
      <c r="I76" s="92"/>
      <c r="J76" s="93"/>
      <c r="L76" s="26" t="s">
        <v>27</v>
      </c>
      <c r="N76" s="26" t="s">
        <v>28</v>
      </c>
      <c r="O76" s="41"/>
    </row>
    <row r="77" s="24" customFormat="1" customHeight="1" spans="1:15">
      <c r="A77" s="94" t="s">
        <v>29</v>
      </c>
      <c r="E77" s="24" t="s">
        <v>4</v>
      </c>
      <c r="H77" s="95"/>
      <c r="I77" s="96"/>
      <c r="J77" s="97"/>
      <c r="O77" s="98"/>
    </row>
    <row r="78" s="24" customFormat="1" customHeight="1" spans="1:15">
      <c r="A78" s="94"/>
      <c r="H78" s="99"/>
      <c r="J78" s="99"/>
      <c r="O78" s="98"/>
    </row>
    <row r="79" s="25" customFormat="1" customHeight="1" spans="1:15">
      <c r="A79" s="100"/>
      <c r="C79" s="101"/>
      <c r="D79" s="102" t="s">
        <v>30</v>
      </c>
      <c r="E79" s="103"/>
      <c r="F79" s="104">
        <v>1</v>
      </c>
      <c r="G79" s="104">
        <v>2</v>
      </c>
      <c r="H79" s="104">
        <v>3</v>
      </c>
      <c r="I79" s="104">
        <v>4</v>
      </c>
      <c r="J79" s="104">
        <v>5</v>
      </c>
      <c r="K79" s="104">
        <v>6</v>
      </c>
      <c r="L79" s="104">
        <v>7</v>
      </c>
      <c r="M79" s="104">
        <v>8</v>
      </c>
      <c r="N79" s="104">
        <v>9</v>
      </c>
      <c r="O79" s="105">
        <v>10</v>
      </c>
    </row>
    <row r="80" customHeight="1" spans="1:15">
      <c r="A80" s="106" t="str">
        <f>List!L4</f>
        <v>SL</v>
      </c>
      <c r="B80" s="90"/>
      <c r="C80" s="101"/>
      <c r="D80" s="53">
        <v>600000</v>
      </c>
      <c r="E80" s="54"/>
      <c r="F80" s="62"/>
      <c r="G80" s="107"/>
      <c r="H80" s="108"/>
      <c r="I80" s="62"/>
      <c r="J80" s="62"/>
      <c r="K80" s="62"/>
      <c r="L80" s="62"/>
      <c r="M80" s="62"/>
      <c r="N80" s="62"/>
      <c r="O80" s="63"/>
    </row>
    <row r="81" customHeight="1" spans="1:15">
      <c r="A81" s="39" t="s">
        <v>31</v>
      </c>
      <c r="C81" s="101"/>
      <c r="D81" s="109"/>
      <c r="E81" s="110"/>
      <c r="F81" s="62"/>
      <c r="G81" s="107"/>
      <c r="H81" s="62"/>
      <c r="I81" s="62"/>
      <c r="J81" s="62"/>
      <c r="K81" s="62"/>
      <c r="L81" s="62"/>
      <c r="M81" s="62"/>
      <c r="N81" s="62"/>
      <c r="O81" s="63"/>
    </row>
    <row r="82" customHeight="1" spans="1:15">
      <c r="A82" s="39"/>
      <c r="D82" s="109"/>
      <c r="E82" s="110"/>
      <c r="F82" s="62"/>
      <c r="G82" s="62"/>
      <c r="H82" s="62"/>
      <c r="I82" s="62"/>
      <c r="J82" s="62"/>
      <c r="K82" s="62"/>
      <c r="L82" s="62"/>
      <c r="M82" s="62"/>
      <c r="N82" s="62"/>
      <c r="O82" s="63"/>
    </row>
    <row r="83" customHeight="1" spans="1:15">
      <c r="A83" s="39"/>
      <c r="O83" s="41"/>
    </row>
    <row r="84" ht="11.4" customHeight="1" spans="1:15">
      <c r="A84" s="111" t="s">
        <v>32</v>
      </c>
      <c r="B84" s="112"/>
      <c r="C84" s="113"/>
      <c r="D84" s="114" t="s">
        <v>33</v>
      </c>
      <c r="E84" s="113"/>
      <c r="F84" s="114" t="s">
        <v>34</v>
      </c>
      <c r="G84" s="112"/>
      <c r="H84" s="113"/>
      <c r="I84" s="115" t="s">
        <v>35</v>
      </c>
      <c r="J84" s="116" t="s">
        <v>36</v>
      </c>
      <c r="K84" s="114" t="s">
        <v>37</v>
      </c>
      <c r="L84" s="113"/>
      <c r="M84" s="117" t="s">
        <v>38</v>
      </c>
      <c r="N84" s="114" t="s">
        <v>39</v>
      </c>
      <c r="O84" s="118"/>
    </row>
    <row r="85" ht="16.95" customHeight="1" spans="1:15">
      <c r="A85" s="51" t="str">
        <f>List!H4</f>
        <v/>
      </c>
      <c r="B85" s="54"/>
      <c r="C85" s="52"/>
      <c r="D85" s="53">
        <v>600000</v>
      </c>
      <c r="E85" s="54"/>
      <c r="F85" s="53" t="str">
        <f>List!J4</f>
        <v>FRESH  GINGER</v>
      </c>
      <c r="G85" s="54"/>
      <c r="H85" s="54"/>
      <c r="I85" s="55" t="s">
        <v>40</v>
      </c>
      <c r="J85" s="55" t="s">
        <v>41</v>
      </c>
      <c r="K85" s="53" t="str">
        <f>List!K4</f>
        <v>Santao</v>
      </c>
      <c r="L85" s="54"/>
      <c r="M85" s="55"/>
      <c r="N85" s="53"/>
      <c r="O85" s="70"/>
    </row>
    <row r="86" ht="18" customHeight="1" spans="1:15">
      <c r="A86" s="119">
        <v>1</v>
      </c>
      <c r="B86" s="120">
        <v>2</v>
      </c>
      <c r="C86" s="120">
        <v>3</v>
      </c>
      <c r="D86" s="121">
        <v>9</v>
      </c>
      <c r="E86" s="121">
        <v>5</v>
      </c>
      <c r="F86" s="121">
        <v>6</v>
      </c>
      <c r="G86" s="121">
        <v>7</v>
      </c>
      <c r="H86" s="121">
        <v>8</v>
      </c>
      <c r="I86" s="120">
        <v>9</v>
      </c>
      <c r="J86" s="120">
        <v>10</v>
      </c>
      <c r="K86" s="120">
        <v>11</v>
      </c>
      <c r="L86" s="120">
        <v>12</v>
      </c>
      <c r="M86" s="120">
        <v>13</v>
      </c>
      <c r="N86" s="120">
        <v>14</v>
      </c>
      <c r="O86" s="122">
        <v>15</v>
      </c>
    </row>
    <row r="87" ht="18" customHeight="1" spans="1:15">
      <c r="A87" s="123">
        <v>16</v>
      </c>
      <c r="B87" s="121">
        <v>17</v>
      </c>
      <c r="C87" s="121">
        <v>18</v>
      </c>
      <c r="D87" s="121">
        <v>19</v>
      </c>
      <c r="E87" s="121">
        <v>20</v>
      </c>
      <c r="F87" s="124">
        <v>21</v>
      </c>
      <c r="G87" s="124">
        <v>22</v>
      </c>
      <c r="H87" s="124">
        <v>23</v>
      </c>
      <c r="I87" s="124">
        <v>24</v>
      </c>
      <c r="J87" s="124">
        <v>25</v>
      </c>
      <c r="K87" s="124">
        <v>26</v>
      </c>
      <c r="L87" s="124">
        <v>27</v>
      </c>
      <c r="M87" s="124">
        <v>28</v>
      </c>
      <c r="N87" s="124">
        <v>29</v>
      </c>
      <c r="O87" s="125">
        <v>30</v>
      </c>
    </row>
    <row r="88" ht="10.95" customHeight="1" spans="1:15">
      <c r="A88" s="123">
        <v>31</v>
      </c>
      <c r="B88" s="121">
        <v>32</v>
      </c>
      <c r="C88" s="121">
        <v>33</v>
      </c>
      <c r="D88" s="121">
        <v>34</v>
      </c>
      <c r="E88" s="126">
        <v>35</v>
      </c>
      <c r="F88" s="114" t="s">
        <v>42</v>
      </c>
      <c r="G88" s="112"/>
      <c r="H88" s="116" t="s">
        <v>43</v>
      </c>
      <c r="I88" s="114" t="s">
        <v>44</v>
      </c>
      <c r="J88" s="112"/>
      <c r="K88" s="116" t="s">
        <v>45</v>
      </c>
      <c r="L88" s="116" t="s">
        <v>46</v>
      </c>
      <c r="M88" s="116" t="s">
        <v>47</v>
      </c>
      <c r="N88" s="116" t="s">
        <v>48</v>
      </c>
      <c r="O88" s="127" t="s">
        <v>49</v>
      </c>
    </row>
    <row r="89" ht="10.2" customHeight="1" spans="1:15">
      <c r="A89" s="123"/>
      <c r="B89" s="121"/>
      <c r="C89" s="121"/>
      <c r="D89" s="121"/>
      <c r="E89" s="126"/>
      <c r="F89" s="128"/>
      <c r="G89" s="129"/>
      <c r="H89" s="130"/>
      <c r="I89" s="128"/>
      <c r="J89" s="129"/>
      <c r="K89" s="130"/>
      <c r="L89" s="130"/>
      <c r="M89" s="130"/>
      <c r="N89" s="130"/>
      <c r="O89" s="131"/>
    </row>
    <row r="90" ht="9.9" customHeight="1" spans="1:15">
      <c r="A90" s="39"/>
      <c r="O90" s="41"/>
    </row>
    <row r="91" ht="10.5" customHeight="1" spans="1:15">
      <c r="A91" s="111" t="s">
        <v>32</v>
      </c>
      <c r="B91" s="112"/>
      <c r="C91" s="113"/>
      <c r="D91" s="114" t="s">
        <v>33</v>
      </c>
      <c r="E91" s="113"/>
      <c r="F91" s="114" t="s">
        <v>34</v>
      </c>
      <c r="G91" s="112"/>
      <c r="H91" s="113"/>
      <c r="I91" s="115" t="s">
        <v>35</v>
      </c>
      <c r="J91" s="116" t="s">
        <v>36</v>
      </c>
      <c r="K91" s="114" t="s">
        <v>37</v>
      </c>
      <c r="L91" s="113"/>
      <c r="M91" s="117" t="s">
        <v>38</v>
      </c>
      <c r="N91" s="114" t="s">
        <v>39</v>
      </c>
      <c r="O91" s="118"/>
    </row>
    <row r="92" ht="15" customHeight="1" spans="1:15">
      <c r="A92" s="51"/>
      <c r="B92" s="54"/>
      <c r="C92" s="54"/>
      <c r="D92" s="53"/>
      <c r="E92" s="54"/>
      <c r="F92" s="53"/>
      <c r="G92" s="54"/>
      <c r="H92" s="54"/>
      <c r="I92" s="55"/>
      <c r="J92" s="55"/>
      <c r="K92" s="53"/>
      <c r="L92" s="54"/>
      <c r="M92" s="55"/>
      <c r="N92" s="53"/>
      <c r="O92" s="70"/>
    </row>
    <row r="93" ht="17.4" customHeight="1" spans="1:15">
      <c r="A93" s="123">
        <v>1</v>
      </c>
      <c r="B93" s="121">
        <v>2</v>
      </c>
      <c r="C93" s="121">
        <v>3</v>
      </c>
      <c r="D93" s="121">
        <v>4</v>
      </c>
      <c r="E93" s="121">
        <v>5</v>
      </c>
      <c r="F93" s="121">
        <v>6</v>
      </c>
      <c r="G93" s="121">
        <v>7</v>
      </c>
      <c r="H93" s="121">
        <v>8</v>
      </c>
      <c r="I93" s="121">
        <v>9</v>
      </c>
      <c r="J93" s="121">
        <v>10</v>
      </c>
      <c r="K93" s="121">
        <v>11</v>
      </c>
      <c r="L93" s="121">
        <v>12</v>
      </c>
      <c r="M93" s="121">
        <v>13</v>
      </c>
      <c r="N93" s="121">
        <v>14</v>
      </c>
      <c r="O93" s="132">
        <v>15</v>
      </c>
    </row>
    <row r="94" ht="17.4" customHeight="1" spans="1:15">
      <c r="A94" s="123">
        <v>16</v>
      </c>
      <c r="B94" s="121">
        <v>17</v>
      </c>
      <c r="C94" s="121">
        <v>18</v>
      </c>
      <c r="D94" s="121">
        <v>19</v>
      </c>
      <c r="E94" s="121">
        <v>20</v>
      </c>
      <c r="F94" s="121">
        <v>21</v>
      </c>
      <c r="G94" s="121">
        <v>22</v>
      </c>
      <c r="H94" s="121">
        <v>23</v>
      </c>
      <c r="I94" s="121">
        <v>24</v>
      </c>
      <c r="J94" s="121">
        <v>25</v>
      </c>
      <c r="K94" s="121">
        <v>26</v>
      </c>
      <c r="L94" s="121">
        <v>27</v>
      </c>
      <c r="M94" s="121">
        <v>28</v>
      </c>
      <c r="N94" s="121">
        <v>29</v>
      </c>
      <c r="O94" s="132">
        <v>30</v>
      </c>
    </row>
    <row r="95" ht="10.95" customHeight="1" spans="1:15">
      <c r="A95" s="123">
        <v>31</v>
      </c>
      <c r="B95" s="121">
        <v>32</v>
      </c>
      <c r="C95" s="121">
        <v>33</v>
      </c>
      <c r="D95" s="121">
        <v>34</v>
      </c>
      <c r="E95" s="126">
        <v>35</v>
      </c>
      <c r="F95" s="114" t="s">
        <v>42</v>
      </c>
      <c r="G95" s="112"/>
      <c r="H95" s="116" t="s">
        <v>43</v>
      </c>
      <c r="I95" s="114" t="s">
        <v>44</v>
      </c>
      <c r="J95" s="112"/>
      <c r="K95" s="116" t="s">
        <v>45</v>
      </c>
      <c r="L95" s="116" t="s">
        <v>46</v>
      </c>
      <c r="M95" s="116" t="s">
        <v>47</v>
      </c>
      <c r="N95" s="116" t="s">
        <v>48</v>
      </c>
      <c r="O95" s="127" t="s">
        <v>49</v>
      </c>
    </row>
    <row r="96" ht="9.6" customHeight="1" spans="1:15">
      <c r="A96" s="123"/>
      <c r="B96" s="121"/>
      <c r="C96" s="121"/>
      <c r="D96" s="121"/>
      <c r="E96" s="126"/>
      <c r="F96" s="128"/>
      <c r="G96" s="129"/>
      <c r="H96" s="130"/>
      <c r="I96" s="128"/>
      <c r="J96" s="129"/>
      <c r="K96" s="130"/>
      <c r="L96" s="130"/>
      <c r="M96" s="130"/>
      <c r="N96" s="130"/>
      <c r="O96" s="131"/>
    </row>
    <row r="97" ht="9.9" customHeight="1" spans="1:15">
      <c r="A97" s="39"/>
      <c r="O97" s="41"/>
    </row>
    <row r="98" ht="10.5" customHeight="1" spans="1:15">
      <c r="A98" s="111" t="s">
        <v>32</v>
      </c>
      <c r="B98" s="112"/>
      <c r="C98" s="113"/>
      <c r="D98" s="114" t="s">
        <v>33</v>
      </c>
      <c r="E98" s="113"/>
      <c r="F98" s="114" t="s">
        <v>34</v>
      </c>
      <c r="G98" s="112"/>
      <c r="H98" s="113"/>
      <c r="I98" s="115" t="s">
        <v>35</v>
      </c>
      <c r="J98" s="116" t="s">
        <v>36</v>
      </c>
      <c r="K98" s="114" t="s">
        <v>37</v>
      </c>
      <c r="L98" s="113"/>
      <c r="M98" s="117" t="s">
        <v>38</v>
      </c>
      <c r="N98" s="114" t="s">
        <v>39</v>
      </c>
      <c r="O98" s="118"/>
    </row>
    <row r="99" ht="17.4" customHeight="1" spans="1:15">
      <c r="A99" s="51"/>
      <c r="B99" s="54"/>
      <c r="C99" s="54"/>
      <c r="D99" s="53"/>
      <c r="E99" s="54"/>
      <c r="F99" s="53"/>
      <c r="G99" s="54"/>
      <c r="H99" s="54"/>
      <c r="I99" s="55"/>
      <c r="J99" s="55"/>
      <c r="K99" s="53"/>
      <c r="L99" s="54"/>
      <c r="M99" s="55"/>
      <c r="N99" s="53"/>
      <c r="O99" s="70"/>
    </row>
    <row r="100" ht="18.6" customHeight="1" spans="1:15">
      <c r="A100" s="123">
        <v>1</v>
      </c>
      <c r="B100" s="121">
        <v>2</v>
      </c>
      <c r="C100" s="121">
        <v>3</v>
      </c>
      <c r="D100" s="121">
        <v>4</v>
      </c>
      <c r="E100" s="121">
        <v>5</v>
      </c>
      <c r="F100" s="121">
        <v>6</v>
      </c>
      <c r="G100" s="121">
        <v>7</v>
      </c>
      <c r="H100" s="121">
        <v>8</v>
      </c>
      <c r="I100" s="121">
        <v>9</v>
      </c>
      <c r="J100" s="121">
        <v>10</v>
      </c>
      <c r="K100" s="121">
        <v>11</v>
      </c>
      <c r="L100" s="121">
        <v>12</v>
      </c>
      <c r="M100" s="121">
        <v>13</v>
      </c>
      <c r="N100" s="121">
        <v>14</v>
      </c>
      <c r="O100" s="132">
        <v>15</v>
      </c>
    </row>
    <row r="101" ht="18.6" customHeight="1" spans="1:15">
      <c r="A101" s="123">
        <v>16</v>
      </c>
      <c r="B101" s="121">
        <v>17</v>
      </c>
      <c r="C101" s="121">
        <v>18</v>
      </c>
      <c r="D101" s="121">
        <v>19</v>
      </c>
      <c r="E101" s="121">
        <v>20</v>
      </c>
      <c r="F101" s="121">
        <v>21</v>
      </c>
      <c r="G101" s="121">
        <v>22</v>
      </c>
      <c r="H101" s="121">
        <v>23</v>
      </c>
      <c r="I101" s="121">
        <v>24</v>
      </c>
      <c r="J101" s="121">
        <v>25</v>
      </c>
      <c r="K101" s="121">
        <v>26</v>
      </c>
      <c r="L101" s="121">
        <v>27</v>
      </c>
      <c r="M101" s="121">
        <v>28</v>
      </c>
      <c r="N101" s="121">
        <v>29</v>
      </c>
      <c r="O101" s="132">
        <v>30</v>
      </c>
    </row>
    <row r="102" ht="10.95" customHeight="1" spans="1:15">
      <c r="A102" s="123">
        <v>31</v>
      </c>
      <c r="B102" s="121">
        <v>32</v>
      </c>
      <c r="C102" s="121">
        <v>33</v>
      </c>
      <c r="D102" s="121">
        <v>34</v>
      </c>
      <c r="E102" s="126">
        <v>35</v>
      </c>
      <c r="F102" s="114" t="s">
        <v>42</v>
      </c>
      <c r="G102" s="112"/>
      <c r="H102" s="116" t="s">
        <v>43</v>
      </c>
      <c r="I102" s="114" t="s">
        <v>44</v>
      </c>
      <c r="J102" s="112"/>
      <c r="K102" s="116" t="s">
        <v>45</v>
      </c>
      <c r="L102" s="116" t="s">
        <v>46</v>
      </c>
      <c r="M102" s="116" t="s">
        <v>47</v>
      </c>
      <c r="N102" s="116" t="s">
        <v>48</v>
      </c>
      <c r="O102" s="127" t="s">
        <v>49</v>
      </c>
    </row>
    <row r="103" ht="15.45" customHeight="1" spans="1:15">
      <c r="A103" s="123"/>
      <c r="B103" s="121"/>
      <c r="C103" s="121"/>
      <c r="D103" s="121"/>
      <c r="E103" s="126"/>
      <c r="F103" s="128"/>
      <c r="G103" s="129"/>
      <c r="H103" s="130"/>
      <c r="I103" s="128"/>
      <c r="J103" s="129"/>
      <c r="K103" s="130"/>
      <c r="L103" s="130"/>
      <c r="M103" s="130"/>
      <c r="N103" s="130"/>
      <c r="O103" s="131"/>
    </row>
    <row r="104" ht="9.6" customHeight="1" spans="1:15">
      <c r="A104" s="39"/>
      <c r="O104" s="41"/>
    </row>
    <row r="105" s="24" customFormat="1" ht="19.35" customHeight="1" spans="1:15">
      <c r="A105" s="133" t="s">
        <v>50</v>
      </c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5"/>
    </row>
    <row r="106" ht="19.8" spans="1:15">
      <c r="A106" s="27" t="s">
        <v>16</v>
      </c>
      <c r="B106" s="28"/>
      <c r="C106" s="28"/>
      <c r="D106" s="28"/>
      <c r="E106" s="29"/>
      <c r="F106" s="29"/>
      <c r="G106" s="29"/>
      <c r="H106" s="29"/>
      <c r="I106" s="29"/>
      <c r="J106" s="29"/>
      <c r="K106" s="29"/>
      <c r="L106" s="30" t="s">
        <v>17</v>
      </c>
      <c r="M106" s="30"/>
      <c r="N106" s="30"/>
      <c r="O106" s="31"/>
    </row>
    <row r="107" customHeight="1" spans="1:15">
      <c r="A107" s="39"/>
      <c r="H107" s="75" t="s">
        <v>18</v>
      </c>
      <c r="I107" s="75" t="s">
        <v>19</v>
      </c>
      <c r="J107" s="75" t="s">
        <v>20</v>
      </c>
      <c r="O107" s="41"/>
    </row>
    <row r="108" customHeight="1" spans="1:15">
      <c r="A108" s="76">
        <f>List!F5</f>
        <v>0</v>
      </c>
      <c r="B108" s="77"/>
      <c r="C108" s="77"/>
      <c r="E108" s="77">
        <f>List!G5</f>
        <v>0</v>
      </c>
      <c r="F108" s="77"/>
      <c r="H108" s="62"/>
      <c r="I108" s="78" t="s">
        <v>21</v>
      </c>
      <c r="J108" s="78"/>
      <c r="L108" s="79" t="s">
        <v>22</v>
      </c>
      <c r="M108" s="80"/>
      <c r="N108" s="81" t="str">
        <f>List!I5</f>
        <v/>
      </c>
      <c r="O108" s="82"/>
    </row>
    <row r="109" customHeight="1" spans="1:15">
      <c r="A109" s="39" t="s">
        <v>5</v>
      </c>
      <c r="E109" s="26" t="s">
        <v>6</v>
      </c>
      <c r="L109" s="26" t="s">
        <v>23</v>
      </c>
      <c r="N109" s="26" t="s">
        <v>24</v>
      </c>
      <c r="O109" s="41"/>
    </row>
    <row r="110" customHeight="1" spans="1:15">
      <c r="A110" s="39"/>
      <c r="H110" s="83" t="s">
        <v>25</v>
      </c>
      <c r="I110" s="84"/>
      <c r="J110" s="85"/>
      <c r="L110" s="80"/>
      <c r="M110" s="80"/>
      <c r="N110" s="86"/>
      <c r="O110" s="87"/>
    </row>
    <row r="111" customHeight="1" spans="1:15">
      <c r="A111" s="88"/>
      <c r="B111" s="89" t="s">
        <v>26</v>
      </c>
      <c r="C111" s="80"/>
      <c r="E111" s="90">
        <f>List!E5</f>
        <v>0</v>
      </c>
      <c r="F111" s="80"/>
      <c r="H111" s="91"/>
      <c r="I111" s="92"/>
      <c r="J111" s="93"/>
      <c r="L111" s="26" t="s">
        <v>27</v>
      </c>
      <c r="N111" s="26" t="s">
        <v>28</v>
      </c>
      <c r="O111" s="41"/>
    </row>
    <row r="112" s="24" customFormat="1" customHeight="1" spans="1:15">
      <c r="A112" s="94" t="s">
        <v>29</v>
      </c>
      <c r="E112" s="24" t="s">
        <v>4</v>
      </c>
      <c r="H112" s="95"/>
      <c r="I112" s="96"/>
      <c r="J112" s="97"/>
      <c r="O112" s="98"/>
    </row>
    <row r="113" s="24" customFormat="1" customHeight="1" spans="1:15">
      <c r="A113" s="94"/>
      <c r="H113" s="99"/>
      <c r="J113" s="99"/>
      <c r="O113" s="98"/>
    </row>
    <row r="114" s="25" customFormat="1" customHeight="1" spans="1:15">
      <c r="A114" s="100"/>
      <c r="C114" s="101"/>
      <c r="D114" s="102" t="s">
        <v>30</v>
      </c>
      <c r="E114" s="103"/>
      <c r="F114" s="104">
        <v>1</v>
      </c>
      <c r="G114" s="104">
        <v>2</v>
      </c>
      <c r="H114" s="104">
        <v>3</v>
      </c>
      <c r="I114" s="104">
        <v>4</v>
      </c>
      <c r="J114" s="104">
        <v>5</v>
      </c>
      <c r="K114" s="104">
        <v>6</v>
      </c>
      <c r="L114" s="104">
        <v>7</v>
      </c>
      <c r="M114" s="104">
        <v>8</v>
      </c>
      <c r="N114" s="104">
        <v>9</v>
      </c>
      <c r="O114" s="105">
        <v>10</v>
      </c>
    </row>
    <row r="115" customHeight="1" spans="1:15">
      <c r="A115" s="106" t="str">
        <f>List!L5</f>
        <v>SL</v>
      </c>
      <c r="B115" s="90"/>
      <c r="C115" s="101"/>
      <c r="D115" s="53">
        <v>600000</v>
      </c>
      <c r="E115" s="54"/>
      <c r="F115" s="62"/>
      <c r="G115" s="107"/>
      <c r="H115" s="108"/>
      <c r="I115" s="62"/>
      <c r="J115" s="62"/>
      <c r="K115" s="62"/>
      <c r="L115" s="62"/>
      <c r="M115" s="62"/>
      <c r="N115" s="62"/>
      <c r="O115" s="63"/>
    </row>
    <row r="116" customHeight="1" spans="1:15">
      <c r="A116" s="39" t="s">
        <v>31</v>
      </c>
      <c r="C116" s="101"/>
      <c r="D116" s="109"/>
      <c r="E116" s="110"/>
      <c r="F116" s="62"/>
      <c r="G116" s="107"/>
      <c r="H116" s="62"/>
      <c r="I116" s="62"/>
      <c r="J116" s="62"/>
      <c r="K116" s="62"/>
      <c r="L116" s="62"/>
      <c r="M116" s="62"/>
      <c r="N116" s="62"/>
      <c r="O116" s="63"/>
    </row>
    <row r="117" customHeight="1" spans="1:15">
      <c r="A117" s="39"/>
      <c r="D117" s="109"/>
      <c r="E117" s="110"/>
      <c r="F117" s="62"/>
      <c r="G117" s="62"/>
      <c r="H117" s="62"/>
      <c r="I117" s="62"/>
      <c r="J117" s="62"/>
      <c r="K117" s="62"/>
      <c r="L117" s="62"/>
      <c r="M117" s="62"/>
      <c r="N117" s="62"/>
      <c r="O117" s="63"/>
    </row>
    <row r="118" customHeight="1" spans="1:15">
      <c r="A118" s="39"/>
      <c r="O118" s="41"/>
    </row>
    <row r="119" ht="11.4" customHeight="1" spans="1:15">
      <c r="A119" s="111" t="s">
        <v>32</v>
      </c>
      <c r="B119" s="112"/>
      <c r="C119" s="113"/>
      <c r="D119" s="114" t="s">
        <v>33</v>
      </c>
      <c r="E119" s="113"/>
      <c r="F119" s="114" t="s">
        <v>34</v>
      </c>
      <c r="G119" s="112"/>
      <c r="H119" s="113"/>
      <c r="I119" s="115" t="s">
        <v>35</v>
      </c>
      <c r="J119" s="116" t="s">
        <v>36</v>
      </c>
      <c r="K119" s="114" t="s">
        <v>37</v>
      </c>
      <c r="L119" s="113"/>
      <c r="M119" s="117" t="s">
        <v>38</v>
      </c>
      <c r="N119" s="114" t="s">
        <v>39</v>
      </c>
      <c r="O119" s="118"/>
    </row>
    <row r="120" ht="16.95" customHeight="1" spans="1:15">
      <c r="A120" s="51" t="str">
        <f>List!H5</f>
        <v/>
      </c>
      <c r="B120" s="54"/>
      <c r="C120" s="52"/>
      <c r="D120" s="53">
        <v>600000</v>
      </c>
      <c r="E120" s="54"/>
      <c r="F120" s="53" t="str">
        <f>List!J5</f>
        <v>FRESH  GINGER</v>
      </c>
      <c r="G120" s="54"/>
      <c r="H120" s="54"/>
      <c r="I120" s="55" t="s">
        <v>40</v>
      </c>
      <c r="J120" s="55" t="s">
        <v>41</v>
      </c>
      <c r="K120" s="53" t="str">
        <f>List!K5</f>
        <v>Santao</v>
      </c>
      <c r="L120" s="54"/>
      <c r="M120" s="55"/>
      <c r="N120" s="53"/>
      <c r="O120" s="70"/>
    </row>
    <row r="121" ht="18" customHeight="1" spans="1:15">
      <c r="A121" s="119">
        <v>1</v>
      </c>
      <c r="B121" s="120">
        <v>2</v>
      </c>
      <c r="C121" s="120">
        <v>3</v>
      </c>
      <c r="D121" s="121">
        <v>9</v>
      </c>
      <c r="E121" s="121">
        <v>5</v>
      </c>
      <c r="F121" s="121">
        <v>6</v>
      </c>
      <c r="G121" s="121">
        <v>7</v>
      </c>
      <c r="H121" s="121">
        <v>8</v>
      </c>
      <c r="I121" s="120">
        <v>9</v>
      </c>
      <c r="J121" s="120">
        <v>10</v>
      </c>
      <c r="K121" s="120">
        <v>11</v>
      </c>
      <c r="L121" s="120">
        <v>12</v>
      </c>
      <c r="M121" s="120">
        <v>13</v>
      </c>
      <c r="N121" s="120">
        <v>14</v>
      </c>
      <c r="O121" s="122">
        <v>15</v>
      </c>
    </row>
    <row r="122" ht="18" customHeight="1" spans="1:15">
      <c r="A122" s="123">
        <v>16</v>
      </c>
      <c r="B122" s="121">
        <v>17</v>
      </c>
      <c r="C122" s="121">
        <v>18</v>
      </c>
      <c r="D122" s="121">
        <v>19</v>
      </c>
      <c r="E122" s="121">
        <v>20</v>
      </c>
      <c r="F122" s="124">
        <v>21</v>
      </c>
      <c r="G122" s="124">
        <v>22</v>
      </c>
      <c r="H122" s="124">
        <v>23</v>
      </c>
      <c r="I122" s="124">
        <v>24</v>
      </c>
      <c r="J122" s="124">
        <v>25</v>
      </c>
      <c r="K122" s="124">
        <v>26</v>
      </c>
      <c r="L122" s="124">
        <v>27</v>
      </c>
      <c r="M122" s="124">
        <v>28</v>
      </c>
      <c r="N122" s="124">
        <v>29</v>
      </c>
      <c r="O122" s="125">
        <v>30</v>
      </c>
    </row>
    <row r="123" ht="10.95" customHeight="1" spans="1:15">
      <c r="A123" s="123">
        <v>31</v>
      </c>
      <c r="B123" s="121">
        <v>32</v>
      </c>
      <c r="C123" s="121">
        <v>33</v>
      </c>
      <c r="D123" s="121">
        <v>34</v>
      </c>
      <c r="E123" s="126">
        <v>35</v>
      </c>
      <c r="F123" s="114" t="s">
        <v>42</v>
      </c>
      <c r="G123" s="112"/>
      <c r="H123" s="116" t="s">
        <v>43</v>
      </c>
      <c r="I123" s="114" t="s">
        <v>44</v>
      </c>
      <c r="J123" s="112"/>
      <c r="K123" s="116" t="s">
        <v>45</v>
      </c>
      <c r="L123" s="116" t="s">
        <v>46</v>
      </c>
      <c r="M123" s="116" t="s">
        <v>47</v>
      </c>
      <c r="N123" s="116" t="s">
        <v>48</v>
      </c>
      <c r="O123" s="127" t="s">
        <v>49</v>
      </c>
    </row>
    <row r="124" ht="10.2" customHeight="1" spans="1:15">
      <c r="A124" s="123"/>
      <c r="B124" s="121"/>
      <c r="C124" s="121"/>
      <c r="D124" s="121"/>
      <c r="E124" s="126"/>
      <c r="F124" s="128"/>
      <c r="G124" s="129"/>
      <c r="H124" s="130"/>
      <c r="I124" s="128"/>
      <c r="J124" s="129"/>
      <c r="K124" s="130"/>
      <c r="L124" s="130"/>
      <c r="M124" s="130"/>
      <c r="N124" s="130"/>
      <c r="O124" s="131"/>
    </row>
    <row r="125" ht="9.9" customHeight="1" spans="1:15">
      <c r="A125" s="39"/>
      <c r="O125" s="41"/>
    </row>
    <row r="126" ht="10.5" customHeight="1" spans="1:15">
      <c r="A126" s="111" t="s">
        <v>32</v>
      </c>
      <c r="B126" s="112"/>
      <c r="C126" s="113"/>
      <c r="D126" s="114" t="s">
        <v>33</v>
      </c>
      <c r="E126" s="113"/>
      <c r="F126" s="114" t="s">
        <v>34</v>
      </c>
      <c r="G126" s="112"/>
      <c r="H126" s="113"/>
      <c r="I126" s="115" t="s">
        <v>35</v>
      </c>
      <c r="J126" s="116" t="s">
        <v>36</v>
      </c>
      <c r="K126" s="114" t="s">
        <v>37</v>
      </c>
      <c r="L126" s="113"/>
      <c r="M126" s="117" t="s">
        <v>38</v>
      </c>
      <c r="N126" s="114" t="s">
        <v>39</v>
      </c>
      <c r="O126" s="118"/>
    </row>
    <row r="127" ht="15" customHeight="1" spans="1:15">
      <c r="A127" s="51"/>
      <c r="B127" s="54"/>
      <c r="C127" s="54"/>
      <c r="D127" s="53"/>
      <c r="E127" s="54"/>
      <c r="F127" s="53"/>
      <c r="G127" s="54"/>
      <c r="H127" s="54"/>
      <c r="I127" s="55"/>
      <c r="J127" s="55"/>
      <c r="K127" s="53"/>
      <c r="L127" s="54"/>
      <c r="M127" s="55"/>
      <c r="N127" s="53"/>
      <c r="O127" s="70"/>
    </row>
    <row r="128" ht="17.4" customHeight="1" spans="1:15">
      <c r="A128" s="123">
        <v>1</v>
      </c>
      <c r="B128" s="121">
        <v>2</v>
      </c>
      <c r="C128" s="121">
        <v>3</v>
      </c>
      <c r="D128" s="121">
        <v>4</v>
      </c>
      <c r="E128" s="121">
        <v>5</v>
      </c>
      <c r="F128" s="121">
        <v>6</v>
      </c>
      <c r="G128" s="121">
        <v>7</v>
      </c>
      <c r="H128" s="121">
        <v>8</v>
      </c>
      <c r="I128" s="121">
        <v>9</v>
      </c>
      <c r="J128" s="121">
        <v>10</v>
      </c>
      <c r="K128" s="121">
        <v>11</v>
      </c>
      <c r="L128" s="121">
        <v>12</v>
      </c>
      <c r="M128" s="121">
        <v>13</v>
      </c>
      <c r="N128" s="121">
        <v>14</v>
      </c>
      <c r="O128" s="132">
        <v>15</v>
      </c>
    </row>
    <row r="129" ht="17.4" customHeight="1" spans="1:15">
      <c r="A129" s="123">
        <v>16</v>
      </c>
      <c r="B129" s="121">
        <v>17</v>
      </c>
      <c r="C129" s="121">
        <v>18</v>
      </c>
      <c r="D129" s="121">
        <v>19</v>
      </c>
      <c r="E129" s="121">
        <v>20</v>
      </c>
      <c r="F129" s="121">
        <v>21</v>
      </c>
      <c r="G129" s="121">
        <v>22</v>
      </c>
      <c r="H129" s="121">
        <v>23</v>
      </c>
      <c r="I129" s="121">
        <v>24</v>
      </c>
      <c r="J129" s="121">
        <v>25</v>
      </c>
      <c r="K129" s="121">
        <v>26</v>
      </c>
      <c r="L129" s="121">
        <v>27</v>
      </c>
      <c r="M129" s="121">
        <v>28</v>
      </c>
      <c r="N129" s="121">
        <v>29</v>
      </c>
      <c r="O129" s="132">
        <v>30</v>
      </c>
    </row>
    <row r="130" ht="10.95" customHeight="1" spans="1:15">
      <c r="A130" s="123">
        <v>31</v>
      </c>
      <c r="B130" s="121">
        <v>32</v>
      </c>
      <c r="C130" s="121">
        <v>33</v>
      </c>
      <c r="D130" s="121">
        <v>34</v>
      </c>
      <c r="E130" s="126">
        <v>35</v>
      </c>
      <c r="F130" s="114" t="s">
        <v>42</v>
      </c>
      <c r="G130" s="112"/>
      <c r="H130" s="116" t="s">
        <v>43</v>
      </c>
      <c r="I130" s="114" t="s">
        <v>44</v>
      </c>
      <c r="J130" s="112"/>
      <c r="K130" s="116" t="s">
        <v>45</v>
      </c>
      <c r="L130" s="116" t="s">
        <v>46</v>
      </c>
      <c r="M130" s="116" t="s">
        <v>47</v>
      </c>
      <c r="N130" s="116" t="s">
        <v>48</v>
      </c>
      <c r="O130" s="127" t="s">
        <v>49</v>
      </c>
    </row>
    <row r="131" ht="9.6" customHeight="1" spans="1:15">
      <c r="A131" s="123"/>
      <c r="B131" s="121"/>
      <c r="C131" s="121"/>
      <c r="D131" s="121"/>
      <c r="E131" s="126"/>
      <c r="F131" s="128"/>
      <c r="G131" s="129"/>
      <c r="H131" s="130"/>
      <c r="I131" s="128"/>
      <c r="J131" s="129"/>
      <c r="K131" s="130"/>
      <c r="L131" s="130"/>
      <c r="M131" s="130"/>
      <c r="N131" s="130"/>
      <c r="O131" s="131"/>
    </row>
    <row r="132" ht="9.9" customHeight="1" spans="1:15">
      <c r="A132" s="39"/>
      <c r="O132" s="41"/>
    </row>
    <row r="133" ht="10.5" customHeight="1" spans="1:15">
      <c r="A133" s="111" t="s">
        <v>32</v>
      </c>
      <c r="B133" s="112"/>
      <c r="C133" s="113"/>
      <c r="D133" s="114" t="s">
        <v>33</v>
      </c>
      <c r="E133" s="113"/>
      <c r="F133" s="114" t="s">
        <v>34</v>
      </c>
      <c r="G133" s="112"/>
      <c r="H133" s="113"/>
      <c r="I133" s="115" t="s">
        <v>35</v>
      </c>
      <c r="J133" s="116" t="s">
        <v>36</v>
      </c>
      <c r="K133" s="114" t="s">
        <v>37</v>
      </c>
      <c r="L133" s="113"/>
      <c r="M133" s="117" t="s">
        <v>38</v>
      </c>
      <c r="N133" s="114" t="s">
        <v>39</v>
      </c>
      <c r="O133" s="118"/>
    </row>
    <row r="134" ht="17.4" customHeight="1" spans="1:15">
      <c r="A134" s="51"/>
      <c r="B134" s="54"/>
      <c r="C134" s="54"/>
      <c r="D134" s="53"/>
      <c r="E134" s="54"/>
      <c r="F134" s="53"/>
      <c r="G134" s="54"/>
      <c r="H134" s="54"/>
      <c r="I134" s="55"/>
      <c r="J134" s="55"/>
      <c r="K134" s="53"/>
      <c r="L134" s="54"/>
      <c r="M134" s="55"/>
      <c r="N134" s="53"/>
      <c r="O134" s="70"/>
    </row>
    <row r="135" ht="18.6" customHeight="1" spans="1:15">
      <c r="A135" s="123">
        <v>1</v>
      </c>
      <c r="B135" s="121">
        <v>2</v>
      </c>
      <c r="C135" s="121">
        <v>3</v>
      </c>
      <c r="D135" s="121">
        <v>4</v>
      </c>
      <c r="E135" s="121">
        <v>5</v>
      </c>
      <c r="F135" s="121">
        <v>6</v>
      </c>
      <c r="G135" s="121">
        <v>7</v>
      </c>
      <c r="H135" s="121">
        <v>8</v>
      </c>
      <c r="I135" s="121">
        <v>9</v>
      </c>
      <c r="J135" s="121">
        <v>10</v>
      </c>
      <c r="K135" s="121">
        <v>11</v>
      </c>
      <c r="L135" s="121">
        <v>12</v>
      </c>
      <c r="M135" s="121">
        <v>13</v>
      </c>
      <c r="N135" s="121">
        <v>14</v>
      </c>
      <c r="O135" s="132">
        <v>15</v>
      </c>
    </row>
    <row r="136" ht="18.6" customHeight="1" spans="1:15">
      <c r="A136" s="123">
        <v>16</v>
      </c>
      <c r="B136" s="121">
        <v>17</v>
      </c>
      <c r="C136" s="121">
        <v>18</v>
      </c>
      <c r="D136" s="121">
        <v>19</v>
      </c>
      <c r="E136" s="121">
        <v>20</v>
      </c>
      <c r="F136" s="121">
        <v>21</v>
      </c>
      <c r="G136" s="121">
        <v>22</v>
      </c>
      <c r="H136" s="121">
        <v>23</v>
      </c>
      <c r="I136" s="121">
        <v>24</v>
      </c>
      <c r="J136" s="121">
        <v>25</v>
      </c>
      <c r="K136" s="121">
        <v>26</v>
      </c>
      <c r="L136" s="121">
        <v>27</v>
      </c>
      <c r="M136" s="121">
        <v>28</v>
      </c>
      <c r="N136" s="121">
        <v>29</v>
      </c>
      <c r="O136" s="132">
        <v>30</v>
      </c>
    </row>
    <row r="137" ht="10.95" customHeight="1" spans="1:15">
      <c r="A137" s="123">
        <v>31</v>
      </c>
      <c r="B137" s="121">
        <v>32</v>
      </c>
      <c r="C137" s="121">
        <v>33</v>
      </c>
      <c r="D137" s="121">
        <v>34</v>
      </c>
      <c r="E137" s="126">
        <v>35</v>
      </c>
      <c r="F137" s="114" t="s">
        <v>42</v>
      </c>
      <c r="G137" s="112"/>
      <c r="H137" s="116" t="s">
        <v>43</v>
      </c>
      <c r="I137" s="114" t="s">
        <v>44</v>
      </c>
      <c r="J137" s="112"/>
      <c r="K137" s="116" t="s">
        <v>45</v>
      </c>
      <c r="L137" s="116" t="s">
        <v>46</v>
      </c>
      <c r="M137" s="116" t="s">
        <v>47</v>
      </c>
      <c r="N137" s="116" t="s">
        <v>48</v>
      </c>
      <c r="O137" s="127" t="s">
        <v>49</v>
      </c>
    </row>
    <row r="138" ht="15.45" customHeight="1" spans="1:15">
      <c r="A138" s="123"/>
      <c r="B138" s="121"/>
      <c r="C138" s="121"/>
      <c r="D138" s="121"/>
      <c r="E138" s="126"/>
      <c r="F138" s="128"/>
      <c r="G138" s="129"/>
      <c r="H138" s="130"/>
      <c r="I138" s="128"/>
      <c r="J138" s="129"/>
      <c r="K138" s="130"/>
      <c r="L138" s="130"/>
      <c r="M138" s="130"/>
      <c r="N138" s="130"/>
      <c r="O138" s="131"/>
    </row>
    <row r="139" ht="9.6" customHeight="1" spans="1:15">
      <c r="A139" s="39"/>
      <c r="O139" s="41"/>
    </row>
    <row r="140" s="24" customFormat="1" ht="19.35" customHeight="1" spans="1:15">
      <c r="A140" s="133" t="s">
        <v>50</v>
      </c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5"/>
    </row>
    <row r="141" ht="19.8" spans="1:15">
      <c r="A141" s="27" t="s">
        <v>16</v>
      </c>
      <c r="B141" s="28"/>
      <c r="C141" s="28"/>
      <c r="D141" s="28"/>
      <c r="E141" s="29"/>
      <c r="F141" s="29"/>
      <c r="G141" s="29"/>
      <c r="H141" s="29"/>
      <c r="I141" s="29"/>
      <c r="J141" s="29"/>
      <c r="K141" s="29"/>
      <c r="L141" s="30" t="s">
        <v>17</v>
      </c>
      <c r="M141" s="30"/>
      <c r="N141" s="30"/>
      <c r="O141" s="31"/>
    </row>
    <row r="142" customHeight="1" spans="1:15">
      <c r="A142" s="39"/>
      <c r="H142" s="75" t="s">
        <v>18</v>
      </c>
      <c r="I142" s="75" t="s">
        <v>19</v>
      </c>
      <c r="J142" s="75" t="s">
        <v>20</v>
      </c>
      <c r="O142" s="41"/>
    </row>
    <row r="143" customHeight="1" spans="1:15">
      <c r="A143" s="76">
        <f>List!F6</f>
        <v>0</v>
      </c>
      <c r="B143" s="77"/>
      <c r="C143" s="77"/>
      <c r="E143" s="77">
        <f>List!G6</f>
        <v>0</v>
      </c>
      <c r="F143" s="77"/>
      <c r="H143" s="62"/>
      <c r="I143" s="78" t="s">
        <v>21</v>
      </c>
      <c r="J143" s="78"/>
      <c r="L143" s="79" t="s">
        <v>22</v>
      </c>
      <c r="M143" s="80"/>
      <c r="N143" s="81" t="str">
        <f>List!I6</f>
        <v/>
      </c>
      <c r="O143" s="82"/>
    </row>
    <row r="144" customHeight="1" spans="1:15">
      <c r="A144" s="39" t="s">
        <v>5</v>
      </c>
      <c r="E144" s="26" t="s">
        <v>6</v>
      </c>
      <c r="L144" s="26" t="s">
        <v>23</v>
      </c>
      <c r="N144" s="26" t="s">
        <v>24</v>
      </c>
      <c r="O144" s="41"/>
    </row>
    <row r="145" customHeight="1" spans="1:15">
      <c r="A145" s="39"/>
      <c r="H145" s="83" t="s">
        <v>25</v>
      </c>
      <c r="I145" s="84"/>
      <c r="J145" s="85"/>
      <c r="L145" s="80"/>
      <c r="M145" s="80"/>
      <c r="N145" s="86"/>
      <c r="O145" s="87"/>
    </row>
    <row r="146" customHeight="1" spans="1:15">
      <c r="A146" s="88"/>
      <c r="B146" s="89" t="s">
        <v>26</v>
      </c>
      <c r="C146" s="80"/>
      <c r="E146" s="90">
        <f>List!E6</f>
        <v>0</v>
      </c>
      <c r="F146" s="80"/>
      <c r="H146" s="91"/>
      <c r="I146" s="92"/>
      <c r="J146" s="93"/>
      <c r="L146" s="26" t="s">
        <v>27</v>
      </c>
      <c r="N146" s="26" t="s">
        <v>28</v>
      </c>
      <c r="O146" s="41"/>
    </row>
    <row r="147" s="24" customFormat="1" customHeight="1" spans="1:15">
      <c r="A147" s="94" t="s">
        <v>29</v>
      </c>
      <c r="E147" s="24" t="s">
        <v>4</v>
      </c>
      <c r="H147" s="95"/>
      <c r="I147" s="96"/>
      <c r="J147" s="97"/>
      <c r="O147" s="98"/>
    </row>
    <row r="148" s="24" customFormat="1" customHeight="1" spans="1:15">
      <c r="A148" s="94"/>
      <c r="H148" s="99"/>
      <c r="J148" s="99"/>
      <c r="O148" s="98"/>
    </row>
    <row r="149" s="25" customFormat="1" customHeight="1" spans="1:15">
      <c r="A149" s="100"/>
      <c r="C149" s="101"/>
      <c r="D149" s="102" t="s">
        <v>30</v>
      </c>
      <c r="E149" s="103"/>
      <c r="F149" s="104">
        <v>1</v>
      </c>
      <c r="G149" s="104">
        <v>2</v>
      </c>
      <c r="H149" s="104">
        <v>3</v>
      </c>
      <c r="I149" s="104">
        <v>4</v>
      </c>
      <c r="J149" s="104">
        <v>5</v>
      </c>
      <c r="K149" s="104">
        <v>6</v>
      </c>
      <c r="L149" s="104">
        <v>7</v>
      </c>
      <c r="M149" s="104">
        <v>8</v>
      </c>
      <c r="N149" s="104">
        <v>9</v>
      </c>
      <c r="O149" s="105">
        <v>10</v>
      </c>
    </row>
    <row r="150" customHeight="1" spans="1:15">
      <c r="A150" s="106" t="str">
        <f>List!L6</f>
        <v>SL</v>
      </c>
      <c r="B150" s="90"/>
      <c r="C150" s="101"/>
      <c r="D150" s="53">
        <v>600000</v>
      </c>
      <c r="E150" s="54"/>
      <c r="F150" s="62"/>
      <c r="G150" s="107"/>
      <c r="H150" s="108"/>
      <c r="I150" s="62"/>
      <c r="J150" s="62"/>
      <c r="K150" s="62"/>
      <c r="L150" s="62"/>
      <c r="M150" s="62"/>
      <c r="N150" s="62"/>
      <c r="O150" s="63"/>
    </row>
    <row r="151" customHeight="1" spans="1:15">
      <c r="A151" s="39" t="s">
        <v>31</v>
      </c>
      <c r="C151" s="101"/>
      <c r="D151" s="109"/>
      <c r="E151" s="110"/>
      <c r="F151" s="62"/>
      <c r="G151" s="107"/>
      <c r="H151" s="62"/>
      <c r="I151" s="62"/>
      <c r="J151" s="62"/>
      <c r="K151" s="62"/>
      <c r="L151" s="62"/>
      <c r="M151" s="62"/>
      <c r="N151" s="62"/>
      <c r="O151" s="63"/>
    </row>
    <row r="152" customHeight="1" spans="1:15">
      <c r="A152" s="39"/>
      <c r="D152" s="109"/>
      <c r="E152" s="110"/>
      <c r="F152" s="62"/>
      <c r="G152" s="62"/>
      <c r="H152" s="62"/>
      <c r="I152" s="62"/>
      <c r="J152" s="62"/>
      <c r="K152" s="62"/>
      <c r="L152" s="62"/>
      <c r="M152" s="62"/>
      <c r="N152" s="62"/>
      <c r="O152" s="63"/>
    </row>
    <row r="153" customHeight="1" spans="1:15">
      <c r="A153" s="39"/>
      <c r="O153" s="41"/>
    </row>
    <row r="154" ht="11.4" customHeight="1" spans="1:15">
      <c r="A154" s="111" t="s">
        <v>32</v>
      </c>
      <c r="B154" s="112"/>
      <c r="C154" s="113"/>
      <c r="D154" s="114" t="s">
        <v>33</v>
      </c>
      <c r="E154" s="113"/>
      <c r="F154" s="114" t="s">
        <v>34</v>
      </c>
      <c r="G154" s="112"/>
      <c r="H154" s="113"/>
      <c r="I154" s="115" t="s">
        <v>35</v>
      </c>
      <c r="J154" s="116" t="s">
        <v>36</v>
      </c>
      <c r="K154" s="114" t="s">
        <v>37</v>
      </c>
      <c r="L154" s="113"/>
      <c r="M154" s="117" t="s">
        <v>38</v>
      </c>
      <c r="N154" s="114" t="s">
        <v>39</v>
      </c>
      <c r="O154" s="118"/>
    </row>
    <row r="155" ht="16.95" customHeight="1" spans="1:15">
      <c r="A155" s="51" t="str">
        <f>List!H6</f>
        <v/>
      </c>
      <c r="B155" s="54"/>
      <c r="C155" s="52"/>
      <c r="D155" s="53">
        <v>600000</v>
      </c>
      <c r="E155" s="54"/>
      <c r="F155" s="53" t="str">
        <f>List!J6</f>
        <v>FRESH  GINGER</v>
      </c>
      <c r="G155" s="54"/>
      <c r="H155" s="54"/>
      <c r="I155" s="55" t="s">
        <v>40</v>
      </c>
      <c r="J155" s="55" t="s">
        <v>41</v>
      </c>
      <c r="K155" s="53" t="str">
        <f>List!K6</f>
        <v>Santao</v>
      </c>
      <c r="L155" s="54"/>
      <c r="M155" s="55"/>
      <c r="N155" s="53"/>
      <c r="O155" s="70"/>
    </row>
    <row r="156" ht="18" customHeight="1" spans="1:15">
      <c r="A156" s="119">
        <v>1</v>
      </c>
      <c r="B156" s="120">
        <v>2</v>
      </c>
      <c r="C156" s="120">
        <v>3</v>
      </c>
      <c r="D156" s="121">
        <v>9</v>
      </c>
      <c r="E156" s="121">
        <v>5</v>
      </c>
      <c r="F156" s="121">
        <v>6</v>
      </c>
      <c r="G156" s="121">
        <v>7</v>
      </c>
      <c r="H156" s="121">
        <v>8</v>
      </c>
      <c r="I156" s="120">
        <v>9</v>
      </c>
      <c r="J156" s="120">
        <v>10</v>
      </c>
      <c r="K156" s="120">
        <v>11</v>
      </c>
      <c r="L156" s="120">
        <v>12</v>
      </c>
      <c r="M156" s="120">
        <v>13</v>
      </c>
      <c r="N156" s="120">
        <v>14</v>
      </c>
      <c r="O156" s="122">
        <v>15</v>
      </c>
    </row>
    <row r="157" ht="18" customHeight="1" spans="1:15">
      <c r="A157" s="123">
        <v>16</v>
      </c>
      <c r="B157" s="121">
        <v>17</v>
      </c>
      <c r="C157" s="121">
        <v>18</v>
      </c>
      <c r="D157" s="121">
        <v>19</v>
      </c>
      <c r="E157" s="121">
        <v>20</v>
      </c>
      <c r="F157" s="124">
        <v>21</v>
      </c>
      <c r="G157" s="124">
        <v>22</v>
      </c>
      <c r="H157" s="124">
        <v>23</v>
      </c>
      <c r="I157" s="124">
        <v>24</v>
      </c>
      <c r="J157" s="124">
        <v>25</v>
      </c>
      <c r="K157" s="124">
        <v>26</v>
      </c>
      <c r="L157" s="124">
        <v>27</v>
      </c>
      <c r="M157" s="124">
        <v>28</v>
      </c>
      <c r="N157" s="124">
        <v>29</v>
      </c>
      <c r="O157" s="125">
        <v>30</v>
      </c>
    </row>
    <row r="158" ht="10.95" customHeight="1" spans="1:15">
      <c r="A158" s="123">
        <v>31</v>
      </c>
      <c r="B158" s="121">
        <v>32</v>
      </c>
      <c r="C158" s="121">
        <v>33</v>
      </c>
      <c r="D158" s="121">
        <v>34</v>
      </c>
      <c r="E158" s="126">
        <v>35</v>
      </c>
      <c r="F158" s="114" t="s">
        <v>42</v>
      </c>
      <c r="G158" s="112"/>
      <c r="H158" s="116" t="s">
        <v>43</v>
      </c>
      <c r="I158" s="114" t="s">
        <v>44</v>
      </c>
      <c r="J158" s="112"/>
      <c r="K158" s="116" t="s">
        <v>45</v>
      </c>
      <c r="L158" s="116" t="s">
        <v>46</v>
      </c>
      <c r="M158" s="116" t="s">
        <v>47</v>
      </c>
      <c r="N158" s="116" t="s">
        <v>48</v>
      </c>
      <c r="O158" s="127" t="s">
        <v>49</v>
      </c>
    </row>
    <row r="159" ht="10.2" customHeight="1" spans="1:15">
      <c r="A159" s="123"/>
      <c r="B159" s="121"/>
      <c r="C159" s="121"/>
      <c r="D159" s="121"/>
      <c r="E159" s="126"/>
      <c r="F159" s="128"/>
      <c r="G159" s="129"/>
      <c r="H159" s="130"/>
      <c r="I159" s="128"/>
      <c r="J159" s="129"/>
      <c r="K159" s="130"/>
      <c r="L159" s="130"/>
      <c r="M159" s="130"/>
      <c r="N159" s="130"/>
      <c r="O159" s="131"/>
    </row>
    <row r="160" ht="9.9" customHeight="1" spans="1:15">
      <c r="A160" s="39"/>
      <c r="O160" s="41"/>
    </row>
    <row r="161" ht="10.5" customHeight="1" spans="1:15">
      <c r="A161" s="111" t="s">
        <v>32</v>
      </c>
      <c r="B161" s="112"/>
      <c r="C161" s="113"/>
      <c r="D161" s="114" t="s">
        <v>33</v>
      </c>
      <c r="E161" s="113"/>
      <c r="F161" s="114" t="s">
        <v>34</v>
      </c>
      <c r="G161" s="112"/>
      <c r="H161" s="113"/>
      <c r="I161" s="115" t="s">
        <v>35</v>
      </c>
      <c r="J161" s="116" t="s">
        <v>36</v>
      </c>
      <c r="K161" s="114" t="s">
        <v>37</v>
      </c>
      <c r="L161" s="113"/>
      <c r="M161" s="117" t="s">
        <v>38</v>
      </c>
      <c r="N161" s="114" t="s">
        <v>39</v>
      </c>
      <c r="O161" s="118"/>
    </row>
    <row r="162" ht="15" customHeight="1" spans="1:15">
      <c r="A162" s="51"/>
      <c r="B162" s="54"/>
      <c r="C162" s="54"/>
      <c r="D162" s="53"/>
      <c r="E162" s="54"/>
      <c r="F162" s="53"/>
      <c r="G162" s="54"/>
      <c r="H162" s="54"/>
      <c r="I162" s="55"/>
      <c r="J162" s="55"/>
      <c r="K162" s="53"/>
      <c r="L162" s="54"/>
      <c r="M162" s="55"/>
      <c r="N162" s="53"/>
      <c r="O162" s="70"/>
    </row>
    <row r="163" ht="17.4" customHeight="1" spans="1:15">
      <c r="A163" s="123">
        <v>1</v>
      </c>
      <c r="B163" s="121">
        <v>2</v>
      </c>
      <c r="C163" s="121">
        <v>3</v>
      </c>
      <c r="D163" s="121">
        <v>4</v>
      </c>
      <c r="E163" s="121">
        <v>5</v>
      </c>
      <c r="F163" s="121">
        <v>6</v>
      </c>
      <c r="G163" s="121">
        <v>7</v>
      </c>
      <c r="H163" s="121">
        <v>8</v>
      </c>
      <c r="I163" s="121">
        <v>9</v>
      </c>
      <c r="J163" s="121">
        <v>10</v>
      </c>
      <c r="K163" s="121">
        <v>11</v>
      </c>
      <c r="L163" s="121">
        <v>12</v>
      </c>
      <c r="M163" s="121">
        <v>13</v>
      </c>
      <c r="N163" s="121">
        <v>14</v>
      </c>
      <c r="O163" s="132">
        <v>15</v>
      </c>
    </row>
    <row r="164" ht="17.4" customHeight="1" spans="1:15">
      <c r="A164" s="123">
        <v>16</v>
      </c>
      <c r="B164" s="121">
        <v>17</v>
      </c>
      <c r="C164" s="121">
        <v>18</v>
      </c>
      <c r="D164" s="121">
        <v>19</v>
      </c>
      <c r="E164" s="121">
        <v>20</v>
      </c>
      <c r="F164" s="121">
        <v>21</v>
      </c>
      <c r="G164" s="121">
        <v>22</v>
      </c>
      <c r="H164" s="121">
        <v>23</v>
      </c>
      <c r="I164" s="121">
        <v>24</v>
      </c>
      <c r="J164" s="121">
        <v>25</v>
      </c>
      <c r="K164" s="121">
        <v>26</v>
      </c>
      <c r="L164" s="121">
        <v>27</v>
      </c>
      <c r="M164" s="121">
        <v>28</v>
      </c>
      <c r="N164" s="121">
        <v>29</v>
      </c>
      <c r="O164" s="132">
        <v>30</v>
      </c>
    </row>
    <row r="165" ht="10.95" customHeight="1" spans="1:15">
      <c r="A165" s="123">
        <v>31</v>
      </c>
      <c r="B165" s="121">
        <v>32</v>
      </c>
      <c r="C165" s="121">
        <v>33</v>
      </c>
      <c r="D165" s="121">
        <v>34</v>
      </c>
      <c r="E165" s="126">
        <v>35</v>
      </c>
      <c r="F165" s="114" t="s">
        <v>42</v>
      </c>
      <c r="G165" s="112"/>
      <c r="H165" s="116" t="s">
        <v>43</v>
      </c>
      <c r="I165" s="114" t="s">
        <v>44</v>
      </c>
      <c r="J165" s="112"/>
      <c r="K165" s="116" t="s">
        <v>45</v>
      </c>
      <c r="L165" s="116" t="s">
        <v>46</v>
      </c>
      <c r="M165" s="116" t="s">
        <v>47</v>
      </c>
      <c r="N165" s="116" t="s">
        <v>48</v>
      </c>
      <c r="O165" s="127" t="s">
        <v>49</v>
      </c>
    </row>
    <row r="166" ht="9.6" customHeight="1" spans="1:15">
      <c r="A166" s="123"/>
      <c r="B166" s="121"/>
      <c r="C166" s="121"/>
      <c r="D166" s="121"/>
      <c r="E166" s="126"/>
      <c r="F166" s="128"/>
      <c r="G166" s="129"/>
      <c r="H166" s="130"/>
      <c r="I166" s="128"/>
      <c r="J166" s="129"/>
      <c r="K166" s="130"/>
      <c r="L166" s="130"/>
      <c r="M166" s="130"/>
      <c r="N166" s="130"/>
      <c r="O166" s="131"/>
    </row>
    <row r="167" ht="9.9" customHeight="1" spans="1:15">
      <c r="A167" s="39"/>
      <c r="O167" s="41"/>
    </row>
    <row r="168" ht="10.5" customHeight="1" spans="1:15">
      <c r="A168" s="111" t="s">
        <v>32</v>
      </c>
      <c r="B168" s="112"/>
      <c r="C168" s="113"/>
      <c r="D168" s="114" t="s">
        <v>33</v>
      </c>
      <c r="E168" s="113"/>
      <c r="F168" s="114" t="s">
        <v>34</v>
      </c>
      <c r="G168" s="112"/>
      <c r="H168" s="113"/>
      <c r="I168" s="115" t="s">
        <v>35</v>
      </c>
      <c r="J168" s="116" t="s">
        <v>36</v>
      </c>
      <c r="K168" s="114" t="s">
        <v>37</v>
      </c>
      <c r="L168" s="113"/>
      <c r="M168" s="117" t="s">
        <v>38</v>
      </c>
      <c r="N168" s="114" t="s">
        <v>39</v>
      </c>
      <c r="O168" s="118"/>
    </row>
    <row r="169" ht="17.4" customHeight="1" spans="1:15">
      <c r="A169" s="51"/>
      <c r="B169" s="54"/>
      <c r="C169" s="54"/>
      <c r="D169" s="53"/>
      <c r="E169" s="54"/>
      <c r="F169" s="53"/>
      <c r="G169" s="54"/>
      <c r="H169" s="54"/>
      <c r="I169" s="55"/>
      <c r="J169" s="55"/>
      <c r="K169" s="53"/>
      <c r="L169" s="54"/>
      <c r="M169" s="55"/>
      <c r="N169" s="53"/>
      <c r="O169" s="70"/>
    </row>
    <row r="170" ht="18.6" customHeight="1" spans="1:15">
      <c r="A170" s="123">
        <v>1</v>
      </c>
      <c r="B170" s="121">
        <v>2</v>
      </c>
      <c r="C170" s="121">
        <v>3</v>
      </c>
      <c r="D170" s="121">
        <v>4</v>
      </c>
      <c r="E170" s="121">
        <v>5</v>
      </c>
      <c r="F170" s="121">
        <v>6</v>
      </c>
      <c r="G170" s="121">
        <v>7</v>
      </c>
      <c r="H170" s="121">
        <v>8</v>
      </c>
      <c r="I170" s="121">
        <v>9</v>
      </c>
      <c r="J170" s="121">
        <v>10</v>
      </c>
      <c r="K170" s="121">
        <v>11</v>
      </c>
      <c r="L170" s="121">
        <v>12</v>
      </c>
      <c r="M170" s="121">
        <v>13</v>
      </c>
      <c r="N170" s="121">
        <v>14</v>
      </c>
      <c r="O170" s="132">
        <v>15</v>
      </c>
    </row>
    <row r="171" ht="18.6" customHeight="1" spans="1:15">
      <c r="A171" s="123">
        <v>16</v>
      </c>
      <c r="B171" s="121">
        <v>17</v>
      </c>
      <c r="C171" s="121">
        <v>18</v>
      </c>
      <c r="D171" s="121">
        <v>19</v>
      </c>
      <c r="E171" s="121">
        <v>20</v>
      </c>
      <c r="F171" s="121">
        <v>21</v>
      </c>
      <c r="G171" s="121">
        <v>22</v>
      </c>
      <c r="H171" s="121">
        <v>23</v>
      </c>
      <c r="I171" s="121">
        <v>24</v>
      </c>
      <c r="J171" s="121">
        <v>25</v>
      </c>
      <c r="K171" s="121">
        <v>26</v>
      </c>
      <c r="L171" s="121">
        <v>27</v>
      </c>
      <c r="M171" s="121">
        <v>28</v>
      </c>
      <c r="N171" s="121">
        <v>29</v>
      </c>
      <c r="O171" s="132">
        <v>30</v>
      </c>
    </row>
    <row r="172" ht="10.95" customHeight="1" spans="1:15">
      <c r="A172" s="123">
        <v>31</v>
      </c>
      <c r="B172" s="121">
        <v>32</v>
      </c>
      <c r="C172" s="121">
        <v>33</v>
      </c>
      <c r="D172" s="121">
        <v>34</v>
      </c>
      <c r="E172" s="126">
        <v>35</v>
      </c>
      <c r="F172" s="114" t="s">
        <v>42</v>
      </c>
      <c r="G172" s="112"/>
      <c r="H172" s="116" t="s">
        <v>43</v>
      </c>
      <c r="I172" s="114" t="s">
        <v>44</v>
      </c>
      <c r="J172" s="112"/>
      <c r="K172" s="116" t="s">
        <v>45</v>
      </c>
      <c r="L172" s="116" t="s">
        <v>46</v>
      </c>
      <c r="M172" s="116" t="s">
        <v>47</v>
      </c>
      <c r="N172" s="116" t="s">
        <v>48</v>
      </c>
      <c r="O172" s="127" t="s">
        <v>49</v>
      </c>
    </row>
    <row r="173" ht="15.45" customHeight="1" spans="1:15">
      <c r="A173" s="123"/>
      <c r="B173" s="121"/>
      <c r="C173" s="121"/>
      <c r="D173" s="121"/>
      <c r="E173" s="126"/>
      <c r="F173" s="128"/>
      <c r="G173" s="129"/>
      <c r="H173" s="130"/>
      <c r="I173" s="128"/>
      <c r="J173" s="129"/>
      <c r="K173" s="130"/>
      <c r="L173" s="130"/>
      <c r="M173" s="130"/>
      <c r="N173" s="130"/>
      <c r="O173" s="131"/>
    </row>
    <row r="174" ht="9.6" customHeight="1" spans="1:15">
      <c r="A174" s="39"/>
      <c r="O174" s="41"/>
    </row>
    <row r="175" s="24" customFormat="1" ht="19.35" customHeight="1" spans="1:15">
      <c r="A175" s="133" t="s">
        <v>50</v>
      </c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5"/>
    </row>
    <row r="176" ht="19.8" spans="1:15">
      <c r="A176" s="27" t="s">
        <v>16</v>
      </c>
      <c r="B176" s="28"/>
      <c r="C176" s="28"/>
      <c r="D176" s="28"/>
      <c r="E176" s="29"/>
      <c r="F176" s="29"/>
      <c r="G176" s="29"/>
      <c r="H176" s="29"/>
      <c r="I176" s="29"/>
      <c r="J176" s="29"/>
      <c r="K176" s="29"/>
      <c r="L176" s="30" t="s">
        <v>17</v>
      </c>
      <c r="M176" s="30"/>
      <c r="N176" s="30"/>
      <c r="O176" s="31"/>
    </row>
    <row r="177" customHeight="1" spans="1:15">
      <c r="A177" s="39"/>
      <c r="H177" s="75" t="s">
        <v>18</v>
      </c>
      <c r="I177" s="75" t="s">
        <v>19</v>
      </c>
      <c r="J177" s="75" t="s">
        <v>20</v>
      </c>
      <c r="O177" s="41"/>
    </row>
    <row r="178" customHeight="1" spans="1:15">
      <c r="A178" s="76">
        <f>List!F7</f>
        <v>0</v>
      </c>
      <c r="B178" s="77"/>
      <c r="C178" s="77"/>
      <c r="E178" s="77">
        <f>List!G7</f>
        <v>0</v>
      </c>
      <c r="F178" s="77"/>
      <c r="H178" s="62"/>
      <c r="I178" s="78" t="s">
        <v>21</v>
      </c>
      <c r="J178" s="78"/>
      <c r="L178" s="79" t="s">
        <v>22</v>
      </c>
      <c r="M178" s="80"/>
      <c r="N178" s="136" t="str">
        <f>List!I7</f>
        <v/>
      </c>
      <c r="O178" s="137"/>
    </row>
    <row r="179" customHeight="1" spans="1:15">
      <c r="A179" s="39" t="s">
        <v>5</v>
      </c>
      <c r="E179" s="26" t="s">
        <v>6</v>
      </c>
      <c r="L179" s="26" t="s">
        <v>23</v>
      </c>
      <c r="N179" s="26" t="s">
        <v>24</v>
      </c>
      <c r="O179" s="41"/>
    </row>
    <row r="180" customHeight="1" spans="1:15">
      <c r="A180" s="39"/>
      <c r="H180" s="83" t="s">
        <v>25</v>
      </c>
      <c r="I180" s="84"/>
      <c r="J180" s="85"/>
      <c r="L180" s="80"/>
      <c r="M180" s="80"/>
      <c r="N180" s="86"/>
      <c r="O180" s="87"/>
    </row>
    <row r="181" customHeight="1" spans="1:15">
      <c r="A181" s="88"/>
      <c r="B181" s="89" t="s">
        <v>26</v>
      </c>
      <c r="C181" s="80"/>
      <c r="E181" s="90">
        <f>List!E7</f>
        <v>0</v>
      </c>
      <c r="F181" s="80"/>
      <c r="H181" s="91"/>
      <c r="I181" s="92"/>
      <c r="J181" s="93"/>
      <c r="L181" s="26" t="s">
        <v>27</v>
      </c>
      <c r="N181" s="26" t="s">
        <v>28</v>
      </c>
      <c r="O181" s="41"/>
    </row>
    <row r="182" s="24" customFormat="1" customHeight="1" spans="1:15">
      <c r="A182" s="94" t="s">
        <v>29</v>
      </c>
      <c r="E182" s="24" t="s">
        <v>4</v>
      </c>
      <c r="H182" s="95"/>
      <c r="I182" s="96"/>
      <c r="J182" s="97"/>
      <c r="O182" s="98"/>
    </row>
    <row r="183" s="24" customFormat="1" customHeight="1" spans="1:15">
      <c r="A183" s="94"/>
      <c r="H183" s="99"/>
      <c r="J183" s="99"/>
      <c r="O183" s="98"/>
    </row>
    <row r="184" s="25" customFormat="1" customHeight="1" spans="1:15">
      <c r="A184" s="100"/>
      <c r="C184" s="101"/>
      <c r="D184" s="102" t="s">
        <v>30</v>
      </c>
      <c r="E184" s="103"/>
      <c r="F184" s="104">
        <v>1</v>
      </c>
      <c r="G184" s="104">
        <v>2</v>
      </c>
      <c r="H184" s="104">
        <v>3</v>
      </c>
      <c r="I184" s="104">
        <v>4</v>
      </c>
      <c r="J184" s="104">
        <v>5</v>
      </c>
      <c r="K184" s="104">
        <v>6</v>
      </c>
      <c r="L184" s="104">
        <v>7</v>
      </c>
      <c r="M184" s="104">
        <v>8</v>
      </c>
      <c r="N184" s="104">
        <v>9</v>
      </c>
      <c r="O184" s="105">
        <v>10</v>
      </c>
    </row>
    <row r="185" customHeight="1" spans="1:15">
      <c r="A185" s="106" t="str">
        <f>List!L7</f>
        <v>SL</v>
      </c>
      <c r="B185" s="90"/>
      <c r="C185" s="101"/>
      <c r="D185" s="53">
        <v>600000</v>
      </c>
      <c r="E185" s="54"/>
      <c r="F185" s="62"/>
      <c r="G185" s="107"/>
      <c r="H185" s="108"/>
      <c r="I185" s="62"/>
      <c r="J185" s="62"/>
      <c r="K185" s="62"/>
      <c r="L185" s="62"/>
      <c r="M185" s="62"/>
      <c r="N185" s="62"/>
      <c r="O185" s="63"/>
    </row>
    <row r="186" customHeight="1" spans="1:15">
      <c r="A186" s="39" t="s">
        <v>31</v>
      </c>
      <c r="C186" s="101"/>
      <c r="D186" s="109"/>
      <c r="E186" s="110"/>
      <c r="F186" s="62"/>
      <c r="G186" s="107"/>
      <c r="H186" s="62"/>
      <c r="I186" s="62"/>
      <c r="J186" s="62"/>
      <c r="K186" s="62"/>
      <c r="L186" s="62"/>
      <c r="M186" s="62"/>
      <c r="N186" s="62"/>
      <c r="O186" s="63"/>
    </row>
    <row r="187" customHeight="1" spans="1:15">
      <c r="A187" s="39"/>
      <c r="D187" s="109"/>
      <c r="E187" s="110"/>
      <c r="F187" s="62"/>
      <c r="G187" s="62"/>
      <c r="H187" s="62"/>
      <c r="I187" s="62"/>
      <c r="J187" s="62"/>
      <c r="K187" s="62"/>
      <c r="L187" s="62"/>
      <c r="M187" s="62"/>
      <c r="N187" s="62"/>
      <c r="O187" s="63"/>
    </row>
    <row r="188" customHeight="1" spans="1:15">
      <c r="A188" s="39"/>
      <c r="O188" s="41"/>
    </row>
    <row r="189" ht="11.4" customHeight="1" spans="1:15">
      <c r="A189" s="111" t="s">
        <v>32</v>
      </c>
      <c r="B189" s="112"/>
      <c r="C189" s="113"/>
      <c r="D189" s="114" t="s">
        <v>33</v>
      </c>
      <c r="E189" s="113"/>
      <c r="F189" s="114" t="s">
        <v>34</v>
      </c>
      <c r="G189" s="112"/>
      <c r="H189" s="113"/>
      <c r="I189" s="115" t="s">
        <v>35</v>
      </c>
      <c r="J189" s="116" t="s">
        <v>36</v>
      </c>
      <c r="K189" s="114" t="s">
        <v>37</v>
      </c>
      <c r="L189" s="113"/>
      <c r="M189" s="117" t="s">
        <v>38</v>
      </c>
      <c r="N189" s="114" t="s">
        <v>39</v>
      </c>
      <c r="O189" s="118"/>
    </row>
    <row r="190" ht="16.95" customHeight="1" spans="1:15">
      <c r="A190" s="51" t="str">
        <f>List!H7</f>
        <v/>
      </c>
      <c r="B190" s="54"/>
      <c r="C190" s="52"/>
      <c r="D190" s="53">
        <v>600000</v>
      </c>
      <c r="E190" s="54"/>
      <c r="F190" s="53" t="str">
        <f>List!J7</f>
        <v>FRESH  GINGER</v>
      </c>
      <c r="G190" s="54"/>
      <c r="H190" s="54"/>
      <c r="I190" s="55" t="s">
        <v>40</v>
      </c>
      <c r="J190" s="55" t="s">
        <v>41</v>
      </c>
      <c r="K190" s="53" t="str">
        <f>List!K7</f>
        <v>Santao</v>
      </c>
      <c r="L190" s="54"/>
      <c r="M190" s="55"/>
      <c r="N190" s="53"/>
      <c r="O190" s="70"/>
    </row>
    <row r="191" ht="18" customHeight="1" spans="1:15">
      <c r="A191" s="119">
        <v>1</v>
      </c>
      <c r="B191" s="120">
        <v>2</v>
      </c>
      <c r="C191" s="120">
        <v>3</v>
      </c>
      <c r="D191" s="121">
        <v>9</v>
      </c>
      <c r="E191" s="121">
        <v>5</v>
      </c>
      <c r="F191" s="121">
        <v>6</v>
      </c>
      <c r="G191" s="121">
        <v>7</v>
      </c>
      <c r="H191" s="121">
        <v>8</v>
      </c>
      <c r="I191" s="120">
        <v>9</v>
      </c>
      <c r="J191" s="120">
        <v>10</v>
      </c>
      <c r="K191" s="120">
        <v>11</v>
      </c>
      <c r="L191" s="120">
        <v>12</v>
      </c>
      <c r="M191" s="120">
        <v>13</v>
      </c>
      <c r="N191" s="120">
        <v>14</v>
      </c>
      <c r="O191" s="122">
        <v>15</v>
      </c>
    </row>
    <row r="192" ht="18" customHeight="1" spans="1:15">
      <c r="A192" s="123">
        <v>16</v>
      </c>
      <c r="B192" s="121">
        <v>17</v>
      </c>
      <c r="C192" s="121">
        <v>18</v>
      </c>
      <c r="D192" s="121">
        <v>19</v>
      </c>
      <c r="E192" s="121">
        <v>20</v>
      </c>
      <c r="F192" s="124">
        <v>21</v>
      </c>
      <c r="G192" s="124">
        <v>22</v>
      </c>
      <c r="H192" s="124">
        <v>23</v>
      </c>
      <c r="I192" s="124">
        <v>24</v>
      </c>
      <c r="J192" s="124">
        <v>25</v>
      </c>
      <c r="K192" s="124">
        <v>26</v>
      </c>
      <c r="L192" s="124">
        <v>27</v>
      </c>
      <c r="M192" s="124">
        <v>28</v>
      </c>
      <c r="N192" s="124">
        <v>29</v>
      </c>
      <c r="O192" s="125">
        <v>30</v>
      </c>
    </row>
    <row r="193" ht="10.95" customHeight="1" spans="1:15">
      <c r="A193" s="123">
        <v>31</v>
      </c>
      <c r="B193" s="121">
        <v>32</v>
      </c>
      <c r="C193" s="121">
        <v>33</v>
      </c>
      <c r="D193" s="121">
        <v>34</v>
      </c>
      <c r="E193" s="126">
        <v>35</v>
      </c>
      <c r="F193" s="114" t="s">
        <v>42</v>
      </c>
      <c r="G193" s="112"/>
      <c r="H193" s="116" t="s">
        <v>43</v>
      </c>
      <c r="I193" s="114" t="s">
        <v>44</v>
      </c>
      <c r="J193" s="112"/>
      <c r="K193" s="116" t="s">
        <v>45</v>
      </c>
      <c r="L193" s="116" t="s">
        <v>46</v>
      </c>
      <c r="M193" s="116" t="s">
        <v>47</v>
      </c>
      <c r="N193" s="116" t="s">
        <v>48</v>
      </c>
      <c r="O193" s="127" t="s">
        <v>49</v>
      </c>
    </row>
    <row r="194" ht="10.2" customHeight="1" spans="1:15">
      <c r="A194" s="123"/>
      <c r="B194" s="121"/>
      <c r="C194" s="121"/>
      <c r="D194" s="121"/>
      <c r="E194" s="126"/>
      <c r="F194" s="128"/>
      <c r="G194" s="129"/>
      <c r="H194" s="130"/>
      <c r="I194" s="128"/>
      <c r="J194" s="129"/>
      <c r="K194" s="130"/>
      <c r="L194" s="130"/>
      <c r="M194" s="130"/>
      <c r="N194" s="130"/>
      <c r="O194" s="131"/>
    </row>
    <row r="195" ht="9.9" customHeight="1" spans="1:15">
      <c r="A195" s="39"/>
      <c r="O195" s="41"/>
    </row>
    <row r="196" ht="10.5" customHeight="1" spans="1:15">
      <c r="A196" s="111" t="s">
        <v>32</v>
      </c>
      <c r="B196" s="112"/>
      <c r="C196" s="113"/>
      <c r="D196" s="114" t="s">
        <v>33</v>
      </c>
      <c r="E196" s="113"/>
      <c r="F196" s="114" t="s">
        <v>34</v>
      </c>
      <c r="G196" s="112"/>
      <c r="H196" s="113"/>
      <c r="I196" s="115" t="s">
        <v>35</v>
      </c>
      <c r="J196" s="116" t="s">
        <v>36</v>
      </c>
      <c r="K196" s="114" t="s">
        <v>37</v>
      </c>
      <c r="L196" s="113"/>
      <c r="M196" s="117" t="s">
        <v>38</v>
      </c>
      <c r="N196" s="114" t="s">
        <v>39</v>
      </c>
      <c r="O196" s="118"/>
    </row>
    <row r="197" ht="15" customHeight="1" spans="1:15">
      <c r="A197" s="51"/>
      <c r="B197" s="54"/>
      <c r="C197" s="54"/>
      <c r="D197" s="53"/>
      <c r="E197" s="54"/>
      <c r="F197" s="53"/>
      <c r="G197" s="54"/>
      <c r="H197" s="54"/>
      <c r="I197" s="55"/>
      <c r="J197" s="55"/>
      <c r="K197" s="53"/>
      <c r="L197" s="54"/>
      <c r="M197" s="55"/>
      <c r="N197" s="53"/>
      <c r="O197" s="70"/>
    </row>
    <row r="198" ht="17.4" customHeight="1" spans="1:15">
      <c r="A198" s="123">
        <v>1</v>
      </c>
      <c r="B198" s="121">
        <v>2</v>
      </c>
      <c r="C198" s="121">
        <v>3</v>
      </c>
      <c r="D198" s="121">
        <v>4</v>
      </c>
      <c r="E198" s="121">
        <v>5</v>
      </c>
      <c r="F198" s="121">
        <v>6</v>
      </c>
      <c r="G198" s="121">
        <v>7</v>
      </c>
      <c r="H198" s="121">
        <v>8</v>
      </c>
      <c r="I198" s="121">
        <v>9</v>
      </c>
      <c r="J198" s="121">
        <v>10</v>
      </c>
      <c r="K198" s="121">
        <v>11</v>
      </c>
      <c r="L198" s="121">
        <v>12</v>
      </c>
      <c r="M198" s="121">
        <v>13</v>
      </c>
      <c r="N198" s="121">
        <v>14</v>
      </c>
      <c r="O198" s="132">
        <v>15</v>
      </c>
    </row>
    <row r="199" ht="17.4" customHeight="1" spans="1:15">
      <c r="A199" s="123">
        <v>16</v>
      </c>
      <c r="B199" s="121">
        <v>17</v>
      </c>
      <c r="C199" s="121">
        <v>18</v>
      </c>
      <c r="D199" s="121">
        <v>19</v>
      </c>
      <c r="E199" s="121">
        <v>20</v>
      </c>
      <c r="F199" s="121">
        <v>21</v>
      </c>
      <c r="G199" s="121">
        <v>22</v>
      </c>
      <c r="H199" s="121">
        <v>23</v>
      </c>
      <c r="I199" s="121">
        <v>24</v>
      </c>
      <c r="J199" s="121">
        <v>25</v>
      </c>
      <c r="K199" s="121">
        <v>26</v>
      </c>
      <c r="L199" s="121">
        <v>27</v>
      </c>
      <c r="M199" s="121">
        <v>28</v>
      </c>
      <c r="N199" s="121">
        <v>29</v>
      </c>
      <c r="O199" s="132">
        <v>30</v>
      </c>
    </row>
    <row r="200" ht="10.95" customHeight="1" spans="1:15">
      <c r="A200" s="123">
        <v>31</v>
      </c>
      <c r="B200" s="121">
        <v>32</v>
      </c>
      <c r="C200" s="121">
        <v>33</v>
      </c>
      <c r="D200" s="121">
        <v>34</v>
      </c>
      <c r="E200" s="126">
        <v>35</v>
      </c>
      <c r="F200" s="114" t="s">
        <v>42</v>
      </c>
      <c r="G200" s="112"/>
      <c r="H200" s="116" t="s">
        <v>43</v>
      </c>
      <c r="I200" s="114" t="s">
        <v>44</v>
      </c>
      <c r="J200" s="112"/>
      <c r="K200" s="116" t="s">
        <v>45</v>
      </c>
      <c r="L200" s="116" t="s">
        <v>46</v>
      </c>
      <c r="M200" s="116" t="s">
        <v>47</v>
      </c>
      <c r="N200" s="116" t="s">
        <v>48</v>
      </c>
      <c r="O200" s="127" t="s">
        <v>49</v>
      </c>
    </row>
    <row r="201" ht="9.6" customHeight="1" spans="1:15">
      <c r="A201" s="123"/>
      <c r="B201" s="121"/>
      <c r="C201" s="121"/>
      <c r="D201" s="121"/>
      <c r="E201" s="126"/>
      <c r="F201" s="128"/>
      <c r="G201" s="129"/>
      <c r="H201" s="130"/>
      <c r="I201" s="128"/>
      <c r="J201" s="129"/>
      <c r="K201" s="130"/>
      <c r="L201" s="130"/>
      <c r="M201" s="130"/>
      <c r="N201" s="130"/>
      <c r="O201" s="131"/>
    </row>
    <row r="202" ht="9.9" customHeight="1" spans="1:15">
      <c r="A202" s="39"/>
      <c r="O202" s="41"/>
    </row>
    <row r="203" ht="10.5" customHeight="1" spans="1:15">
      <c r="A203" s="111" t="s">
        <v>32</v>
      </c>
      <c r="B203" s="112"/>
      <c r="C203" s="113"/>
      <c r="D203" s="114" t="s">
        <v>33</v>
      </c>
      <c r="E203" s="113"/>
      <c r="F203" s="114" t="s">
        <v>34</v>
      </c>
      <c r="G203" s="112"/>
      <c r="H203" s="113"/>
      <c r="I203" s="115" t="s">
        <v>35</v>
      </c>
      <c r="J203" s="116" t="s">
        <v>36</v>
      </c>
      <c r="K203" s="114" t="s">
        <v>37</v>
      </c>
      <c r="L203" s="113"/>
      <c r="M203" s="117" t="s">
        <v>38</v>
      </c>
      <c r="N203" s="114" t="s">
        <v>39</v>
      </c>
      <c r="O203" s="118"/>
    </row>
    <row r="204" ht="17.4" customHeight="1" spans="1:15">
      <c r="A204" s="51"/>
      <c r="B204" s="54"/>
      <c r="C204" s="54"/>
      <c r="D204" s="53"/>
      <c r="E204" s="54"/>
      <c r="F204" s="53"/>
      <c r="G204" s="54"/>
      <c r="H204" s="54"/>
      <c r="I204" s="55"/>
      <c r="J204" s="55"/>
      <c r="K204" s="53"/>
      <c r="L204" s="54"/>
      <c r="M204" s="55"/>
      <c r="N204" s="53"/>
      <c r="O204" s="70"/>
    </row>
    <row r="205" ht="18.6" customHeight="1" spans="1:15">
      <c r="A205" s="123">
        <v>1</v>
      </c>
      <c r="B205" s="121">
        <v>2</v>
      </c>
      <c r="C205" s="121">
        <v>3</v>
      </c>
      <c r="D205" s="121">
        <v>4</v>
      </c>
      <c r="E205" s="121">
        <v>5</v>
      </c>
      <c r="F205" s="121">
        <v>6</v>
      </c>
      <c r="G205" s="121">
        <v>7</v>
      </c>
      <c r="H205" s="121">
        <v>8</v>
      </c>
      <c r="I205" s="121">
        <v>9</v>
      </c>
      <c r="J205" s="121">
        <v>10</v>
      </c>
      <c r="K205" s="121">
        <v>11</v>
      </c>
      <c r="L205" s="121">
        <v>12</v>
      </c>
      <c r="M205" s="121">
        <v>13</v>
      </c>
      <c r="N205" s="121">
        <v>14</v>
      </c>
      <c r="O205" s="132">
        <v>15</v>
      </c>
    </row>
    <row r="206" ht="18.6" customHeight="1" spans="1:15">
      <c r="A206" s="123">
        <v>16</v>
      </c>
      <c r="B206" s="121">
        <v>17</v>
      </c>
      <c r="C206" s="121">
        <v>18</v>
      </c>
      <c r="D206" s="121">
        <v>19</v>
      </c>
      <c r="E206" s="121">
        <v>20</v>
      </c>
      <c r="F206" s="121">
        <v>21</v>
      </c>
      <c r="G206" s="121">
        <v>22</v>
      </c>
      <c r="H206" s="121">
        <v>23</v>
      </c>
      <c r="I206" s="121">
        <v>24</v>
      </c>
      <c r="J206" s="121">
        <v>25</v>
      </c>
      <c r="K206" s="121">
        <v>26</v>
      </c>
      <c r="L206" s="121">
        <v>27</v>
      </c>
      <c r="M206" s="121">
        <v>28</v>
      </c>
      <c r="N206" s="121">
        <v>29</v>
      </c>
      <c r="O206" s="132">
        <v>30</v>
      </c>
    </row>
    <row r="207" ht="10.95" customHeight="1" spans="1:15">
      <c r="A207" s="123">
        <v>31</v>
      </c>
      <c r="B207" s="121">
        <v>32</v>
      </c>
      <c r="C207" s="121">
        <v>33</v>
      </c>
      <c r="D207" s="121">
        <v>34</v>
      </c>
      <c r="E207" s="126">
        <v>35</v>
      </c>
      <c r="F207" s="114" t="s">
        <v>42</v>
      </c>
      <c r="G207" s="112"/>
      <c r="H207" s="116" t="s">
        <v>43</v>
      </c>
      <c r="I207" s="114" t="s">
        <v>44</v>
      </c>
      <c r="J207" s="112"/>
      <c r="K207" s="116" t="s">
        <v>45</v>
      </c>
      <c r="L207" s="116" t="s">
        <v>46</v>
      </c>
      <c r="M207" s="116" t="s">
        <v>47</v>
      </c>
      <c r="N207" s="116" t="s">
        <v>48</v>
      </c>
      <c r="O207" s="127" t="s">
        <v>49</v>
      </c>
    </row>
    <row r="208" ht="15.45" customHeight="1" spans="1:15">
      <c r="A208" s="123"/>
      <c r="B208" s="121"/>
      <c r="C208" s="121"/>
      <c r="D208" s="121"/>
      <c r="E208" s="126"/>
      <c r="F208" s="128"/>
      <c r="G208" s="129"/>
      <c r="H208" s="130"/>
      <c r="I208" s="128"/>
      <c r="J208" s="129"/>
      <c r="K208" s="130"/>
      <c r="L208" s="130"/>
      <c r="M208" s="130"/>
      <c r="N208" s="130"/>
      <c r="O208" s="131"/>
    </row>
    <row r="209" ht="9.6" customHeight="1" spans="1:15">
      <c r="A209" s="39"/>
      <c r="O209" s="41"/>
    </row>
    <row r="210" s="24" customFormat="1" ht="19.35" customHeight="1" spans="1:15">
      <c r="A210" s="133" t="s">
        <v>50</v>
      </c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5"/>
    </row>
    <row r="211" ht="19.8" spans="1:15">
      <c r="A211" s="27" t="s">
        <v>16</v>
      </c>
      <c r="B211" s="28"/>
      <c r="C211" s="28"/>
      <c r="D211" s="28"/>
      <c r="E211" s="29"/>
      <c r="F211" s="29"/>
      <c r="G211" s="29"/>
      <c r="H211" s="29"/>
      <c r="I211" s="29"/>
      <c r="J211" s="29"/>
      <c r="K211" s="29"/>
      <c r="L211" s="30" t="s">
        <v>17</v>
      </c>
      <c r="M211" s="30"/>
      <c r="N211" s="30"/>
      <c r="O211" s="31"/>
    </row>
    <row r="212" customHeight="1" spans="1:15">
      <c r="A212" s="39"/>
      <c r="H212" s="75" t="s">
        <v>18</v>
      </c>
      <c r="I212" s="75" t="s">
        <v>19</v>
      </c>
      <c r="J212" s="75" t="s">
        <v>20</v>
      </c>
      <c r="O212" s="41"/>
    </row>
    <row r="213" customHeight="1" spans="1:15">
      <c r="A213" s="76">
        <f>List!F8</f>
        <v>0</v>
      </c>
      <c r="B213" s="77"/>
      <c r="C213" s="77"/>
      <c r="E213" s="77">
        <f>List!G8</f>
        <v>0</v>
      </c>
      <c r="F213" s="77"/>
      <c r="H213" s="62"/>
      <c r="I213" s="78" t="s">
        <v>21</v>
      </c>
      <c r="J213" s="78"/>
      <c r="L213" s="79" t="s">
        <v>22</v>
      </c>
      <c r="M213" s="80"/>
      <c r="N213" s="81" t="str">
        <f>List!I8</f>
        <v/>
      </c>
      <c r="O213" s="82"/>
    </row>
    <row r="214" customHeight="1" spans="1:15">
      <c r="A214" s="39" t="s">
        <v>5</v>
      </c>
      <c r="E214" s="26" t="s">
        <v>6</v>
      </c>
      <c r="L214" s="26" t="s">
        <v>23</v>
      </c>
      <c r="N214" s="26" t="s">
        <v>24</v>
      </c>
      <c r="O214" s="41"/>
    </row>
    <row r="215" customHeight="1" spans="1:15">
      <c r="A215" s="39"/>
      <c r="H215" s="83" t="s">
        <v>25</v>
      </c>
      <c r="I215" s="84"/>
      <c r="J215" s="85"/>
      <c r="L215" s="80"/>
      <c r="M215" s="80"/>
      <c r="N215" s="86"/>
      <c r="O215" s="87"/>
    </row>
    <row r="216" customHeight="1" spans="1:15">
      <c r="A216" s="88"/>
      <c r="B216" s="89" t="s">
        <v>26</v>
      </c>
      <c r="C216" s="80"/>
      <c r="E216" s="90">
        <f>List!E8</f>
        <v>0</v>
      </c>
      <c r="F216" s="80"/>
      <c r="H216" s="91"/>
      <c r="I216" s="92"/>
      <c r="J216" s="93"/>
      <c r="L216" s="26" t="s">
        <v>27</v>
      </c>
      <c r="N216" s="26" t="s">
        <v>28</v>
      </c>
      <c r="O216" s="41"/>
    </row>
    <row r="217" s="24" customFormat="1" customHeight="1" spans="1:15">
      <c r="A217" s="94" t="s">
        <v>29</v>
      </c>
      <c r="E217" s="24" t="s">
        <v>4</v>
      </c>
      <c r="H217" s="95"/>
      <c r="I217" s="96"/>
      <c r="J217" s="97"/>
      <c r="O217" s="98"/>
    </row>
    <row r="218" s="24" customFormat="1" customHeight="1" spans="1:15">
      <c r="A218" s="94"/>
      <c r="H218" s="99"/>
      <c r="J218" s="99"/>
      <c r="O218" s="98"/>
    </row>
    <row r="219" s="25" customFormat="1" customHeight="1" spans="1:15">
      <c r="A219" s="100"/>
      <c r="C219" s="101"/>
      <c r="D219" s="102" t="s">
        <v>30</v>
      </c>
      <c r="E219" s="103"/>
      <c r="F219" s="104">
        <v>1</v>
      </c>
      <c r="G219" s="104">
        <v>2</v>
      </c>
      <c r="H219" s="104">
        <v>3</v>
      </c>
      <c r="I219" s="104">
        <v>4</v>
      </c>
      <c r="J219" s="104">
        <v>5</v>
      </c>
      <c r="K219" s="104">
        <v>6</v>
      </c>
      <c r="L219" s="104">
        <v>7</v>
      </c>
      <c r="M219" s="104">
        <v>8</v>
      </c>
      <c r="N219" s="104">
        <v>9</v>
      </c>
      <c r="O219" s="105">
        <v>10</v>
      </c>
    </row>
    <row r="220" customHeight="1" spans="1:15">
      <c r="A220" s="106" t="str">
        <f>List!L8</f>
        <v>SL</v>
      </c>
      <c r="B220" s="90"/>
      <c r="C220" s="101"/>
      <c r="D220" s="53">
        <v>600000</v>
      </c>
      <c r="E220" s="54"/>
      <c r="F220" s="62"/>
      <c r="G220" s="107"/>
      <c r="H220" s="108"/>
      <c r="I220" s="62"/>
      <c r="J220" s="62"/>
      <c r="K220" s="62"/>
      <c r="L220" s="62"/>
      <c r="M220" s="62"/>
      <c r="N220" s="62"/>
      <c r="O220" s="63"/>
    </row>
    <row r="221" customHeight="1" spans="1:15">
      <c r="A221" s="39" t="s">
        <v>31</v>
      </c>
      <c r="C221" s="101"/>
      <c r="D221" s="109"/>
      <c r="E221" s="110"/>
      <c r="F221" s="62"/>
      <c r="G221" s="107"/>
      <c r="H221" s="62"/>
      <c r="I221" s="62"/>
      <c r="J221" s="62"/>
      <c r="K221" s="62"/>
      <c r="L221" s="62"/>
      <c r="M221" s="62"/>
      <c r="N221" s="62"/>
      <c r="O221" s="63"/>
    </row>
    <row r="222" customHeight="1" spans="1:15">
      <c r="A222" s="39"/>
      <c r="D222" s="109"/>
      <c r="E222" s="110"/>
      <c r="F222" s="62"/>
      <c r="G222" s="62"/>
      <c r="H222" s="62"/>
      <c r="I222" s="62"/>
      <c r="J222" s="62"/>
      <c r="K222" s="62"/>
      <c r="L222" s="62"/>
      <c r="M222" s="62"/>
      <c r="N222" s="62"/>
      <c r="O222" s="63"/>
    </row>
    <row r="223" customHeight="1" spans="1:15">
      <c r="A223" s="39"/>
      <c r="O223" s="41"/>
    </row>
    <row r="224" ht="11.4" customHeight="1" spans="1:15">
      <c r="A224" s="111" t="s">
        <v>32</v>
      </c>
      <c r="B224" s="112"/>
      <c r="C224" s="113"/>
      <c r="D224" s="114" t="s">
        <v>33</v>
      </c>
      <c r="E224" s="113"/>
      <c r="F224" s="114" t="s">
        <v>34</v>
      </c>
      <c r="G224" s="112"/>
      <c r="H224" s="113"/>
      <c r="I224" s="115" t="s">
        <v>35</v>
      </c>
      <c r="J224" s="116" t="s">
        <v>36</v>
      </c>
      <c r="K224" s="114" t="s">
        <v>37</v>
      </c>
      <c r="L224" s="113"/>
      <c r="M224" s="117" t="s">
        <v>38</v>
      </c>
      <c r="N224" s="114" t="s">
        <v>39</v>
      </c>
      <c r="O224" s="118"/>
    </row>
    <row r="225" ht="16.95" customHeight="1" spans="1:15">
      <c r="A225" s="51" t="str">
        <f>List!H8</f>
        <v/>
      </c>
      <c r="B225" s="54"/>
      <c r="C225" s="52"/>
      <c r="D225" s="53">
        <v>600000</v>
      </c>
      <c r="E225" s="54"/>
      <c r="F225" s="53" t="str">
        <f>List!J8</f>
        <v>FRESH  GINGER</v>
      </c>
      <c r="G225" s="54"/>
      <c r="H225" s="54"/>
      <c r="I225" s="55" t="s">
        <v>40</v>
      </c>
      <c r="J225" s="55" t="s">
        <v>41</v>
      </c>
      <c r="K225" s="53" t="str">
        <f>List!K8</f>
        <v>Santao</v>
      </c>
      <c r="L225" s="54"/>
      <c r="M225" s="55"/>
      <c r="N225" s="53"/>
      <c r="O225" s="70"/>
    </row>
    <row r="226" ht="18" customHeight="1" spans="1:15">
      <c r="A226" s="119">
        <v>1</v>
      </c>
      <c r="B226" s="120">
        <v>2</v>
      </c>
      <c r="C226" s="120">
        <v>3</v>
      </c>
      <c r="D226" s="121">
        <v>9</v>
      </c>
      <c r="E226" s="121">
        <v>5</v>
      </c>
      <c r="F226" s="121">
        <v>6</v>
      </c>
      <c r="G226" s="121">
        <v>7</v>
      </c>
      <c r="H226" s="121">
        <v>8</v>
      </c>
      <c r="I226" s="120">
        <v>9</v>
      </c>
      <c r="J226" s="120">
        <v>10</v>
      </c>
      <c r="K226" s="120">
        <v>11</v>
      </c>
      <c r="L226" s="120">
        <v>12</v>
      </c>
      <c r="M226" s="120">
        <v>13</v>
      </c>
      <c r="N226" s="120">
        <v>14</v>
      </c>
      <c r="O226" s="122">
        <v>15</v>
      </c>
    </row>
    <row r="227" ht="18" customHeight="1" spans="1:15">
      <c r="A227" s="123">
        <v>16</v>
      </c>
      <c r="B227" s="121">
        <v>17</v>
      </c>
      <c r="C227" s="121">
        <v>18</v>
      </c>
      <c r="D227" s="121">
        <v>19</v>
      </c>
      <c r="E227" s="121">
        <v>20</v>
      </c>
      <c r="F227" s="124">
        <v>21</v>
      </c>
      <c r="G227" s="124">
        <v>22</v>
      </c>
      <c r="H227" s="124">
        <v>23</v>
      </c>
      <c r="I227" s="124">
        <v>24</v>
      </c>
      <c r="J227" s="124">
        <v>25</v>
      </c>
      <c r="K227" s="124">
        <v>26</v>
      </c>
      <c r="L227" s="124">
        <v>27</v>
      </c>
      <c r="M227" s="124">
        <v>28</v>
      </c>
      <c r="N227" s="124">
        <v>29</v>
      </c>
      <c r="O227" s="125">
        <v>30</v>
      </c>
    </row>
    <row r="228" ht="10.95" customHeight="1" spans="1:15">
      <c r="A228" s="123">
        <v>31</v>
      </c>
      <c r="B228" s="121">
        <v>32</v>
      </c>
      <c r="C228" s="121">
        <v>33</v>
      </c>
      <c r="D228" s="121">
        <v>34</v>
      </c>
      <c r="E228" s="126">
        <v>35</v>
      </c>
      <c r="F228" s="114" t="s">
        <v>42</v>
      </c>
      <c r="G228" s="112"/>
      <c r="H228" s="116" t="s">
        <v>43</v>
      </c>
      <c r="I228" s="114" t="s">
        <v>44</v>
      </c>
      <c r="J228" s="112"/>
      <c r="K228" s="116" t="s">
        <v>45</v>
      </c>
      <c r="L228" s="116" t="s">
        <v>46</v>
      </c>
      <c r="M228" s="116" t="s">
        <v>47</v>
      </c>
      <c r="N228" s="116" t="s">
        <v>48</v>
      </c>
      <c r="O228" s="127" t="s">
        <v>49</v>
      </c>
    </row>
    <row r="229" ht="10.2" customHeight="1" spans="1:15">
      <c r="A229" s="123"/>
      <c r="B229" s="121"/>
      <c r="C229" s="121"/>
      <c r="D229" s="121"/>
      <c r="E229" s="126"/>
      <c r="F229" s="128"/>
      <c r="G229" s="129"/>
      <c r="H229" s="130"/>
      <c r="I229" s="128"/>
      <c r="J229" s="129"/>
      <c r="K229" s="130"/>
      <c r="L229" s="130"/>
      <c r="M229" s="130"/>
      <c r="N229" s="130"/>
      <c r="O229" s="131"/>
    </row>
    <row r="230" ht="9.9" customHeight="1" spans="1:15">
      <c r="A230" s="39"/>
      <c r="O230" s="41"/>
    </row>
    <row r="231" ht="10.5" customHeight="1" spans="1:15">
      <c r="A231" s="111" t="s">
        <v>32</v>
      </c>
      <c r="B231" s="112"/>
      <c r="C231" s="113"/>
      <c r="D231" s="114" t="s">
        <v>33</v>
      </c>
      <c r="E231" s="113"/>
      <c r="F231" s="114" t="s">
        <v>34</v>
      </c>
      <c r="G231" s="112"/>
      <c r="H231" s="113"/>
      <c r="I231" s="115" t="s">
        <v>35</v>
      </c>
      <c r="J231" s="116" t="s">
        <v>36</v>
      </c>
      <c r="K231" s="114" t="s">
        <v>37</v>
      </c>
      <c r="L231" s="113"/>
      <c r="M231" s="117" t="s">
        <v>38</v>
      </c>
      <c r="N231" s="114" t="s">
        <v>39</v>
      </c>
      <c r="O231" s="118"/>
    </row>
    <row r="232" ht="15" customHeight="1" spans="1:15">
      <c r="A232" s="51"/>
      <c r="B232" s="54"/>
      <c r="C232" s="54"/>
      <c r="D232" s="53"/>
      <c r="E232" s="54"/>
      <c r="F232" s="53"/>
      <c r="G232" s="54"/>
      <c r="H232" s="54"/>
      <c r="I232" s="55"/>
      <c r="J232" s="55"/>
      <c r="K232" s="53"/>
      <c r="L232" s="54"/>
      <c r="M232" s="55"/>
      <c r="N232" s="53"/>
      <c r="O232" s="70"/>
    </row>
    <row r="233" ht="17.4" customHeight="1" spans="1:15">
      <c r="A233" s="123">
        <v>1</v>
      </c>
      <c r="B233" s="121">
        <v>2</v>
      </c>
      <c r="C233" s="121">
        <v>3</v>
      </c>
      <c r="D233" s="121">
        <v>4</v>
      </c>
      <c r="E233" s="121">
        <v>5</v>
      </c>
      <c r="F233" s="121">
        <v>6</v>
      </c>
      <c r="G233" s="121">
        <v>7</v>
      </c>
      <c r="H233" s="121">
        <v>8</v>
      </c>
      <c r="I233" s="121">
        <v>9</v>
      </c>
      <c r="J233" s="121">
        <v>10</v>
      </c>
      <c r="K233" s="121">
        <v>11</v>
      </c>
      <c r="L233" s="121">
        <v>12</v>
      </c>
      <c r="M233" s="121">
        <v>13</v>
      </c>
      <c r="N233" s="121">
        <v>14</v>
      </c>
      <c r="O233" s="132">
        <v>15</v>
      </c>
    </row>
    <row r="234" ht="17.4" customHeight="1" spans="1:15">
      <c r="A234" s="123">
        <v>16</v>
      </c>
      <c r="B234" s="121">
        <v>17</v>
      </c>
      <c r="C234" s="121">
        <v>18</v>
      </c>
      <c r="D234" s="121">
        <v>19</v>
      </c>
      <c r="E234" s="121">
        <v>20</v>
      </c>
      <c r="F234" s="121">
        <v>21</v>
      </c>
      <c r="G234" s="121">
        <v>22</v>
      </c>
      <c r="H234" s="121">
        <v>23</v>
      </c>
      <c r="I234" s="121">
        <v>24</v>
      </c>
      <c r="J234" s="121">
        <v>25</v>
      </c>
      <c r="K234" s="121">
        <v>26</v>
      </c>
      <c r="L234" s="121">
        <v>27</v>
      </c>
      <c r="M234" s="121">
        <v>28</v>
      </c>
      <c r="N234" s="121">
        <v>29</v>
      </c>
      <c r="O234" s="132">
        <v>30</v>
      </c>
    </row>
    <row r="235" ht="10.95" customHeight="1" spans="1:15">
      <c r="A235" s="123">
        <v>31</v>
      </c>
      <c r="B235" s="121">
        <v>32</v>
      </c>
      <c r="C235" s="121">
        <v>33</v>
      </c>
      <c r="D235" s="121">
        <v>34</v>
      </c>
      <c r="E235" s="126">
        <v>35</v>
      </c>
      <c r="F235" s="114" t="s">
        <v>42</v>
      </c>
      <c r="G235" s="112"/>
      <c r="H235" s="116" t="s">
        <v>43</v>
      </c>
      <c r="I235" s="114" t="s">
        <v>44</v>
      </c>
      <c r="J235" s="112"/>
      <c r="K235" s="116" t="s">
        <v>45</v>
      </c>
      <c r="L235" s="116" t="s">
        <v>46</v>
      </c>
      <c r="M235" s="116" t="s">
        <v>47</v>
      </c>
      <c r="N235" s="116" t="s">
        <v>48</v>
      </c>
      <c r="O235" s="127" t="s">
        <v>49</v>
      </c>
    </row>
    <row r="236" ht="9.6" customHeight="1" spans="1:15">
      <c r="A236" s="123"/>
      <c r="B236" s="121"/>
      <c r="C236" s="121"/>
      <c r="D236" s="121"/>
      <c r="E236" s="126"/>
      <c r="F236" s="128"/>
      <c r="G236" s="129"/>
      <c r="H236" s="130"/>
      <c r="I236" s="128"/>
      <c r="J236" s="129"/>
      <c r="K236" s="130"/>
      <c r="L236" s="130"/>
      <c r="M236" s="130"/>
      <c r="N236" s="130"/>
      <c r="O236" s="131"/>
    </row>
    <row r="237" ht="9.9" customHeight="1" spans="1:15">
      <c r="A237" s="39"/>
      <c r="O237" s="41"/>
    </row>
    <row r="238" ht="10.5" customHeight="1" spans="1:15">
      <c r="A238" s="111" t="s">
        <v>32</v>
      </c>
      <c r="B238" s="112"/>
      <c r="C238" s="113"/>
      <c r="D238" s="114" t="s">
        <v>33</v>
      </c>
      <c r="E238" s="113"/>
      <c r="F238" s="114" t="s">
        <v>34</v>
      </c>
      <c r="G238" s="112"/>
      <c r="H238" s="113"/>
      <c r="I238" s="115" t="s">
        <v>35</v>
      </c>
      <c r="J238" s="116" t="s">
        <v>36</v>
      </c>
      <c r="K238" s="114" t="s">
        <v>37</v>
      </c>
      <c r="L238" s="113"/>
      <c r="M238" s="117" t="s">
        <v>38</v>
      </c>
      <c r="N238" s="114" t="s">
        <v>39</v>
      </c>
      <c r="O238" s="118"/>
    </row>
    <row r="239" ht="17.4" customHeight="1" spans="1:15">
      <c r="A239" s="51"/>
      <c r="B239" s="54"/>
      <c r="C239" s="54"/>
      <c r="D239" s="53"/>
      <c r="E239" s="54"/>
      <c r="F239" s="53"/>
      <c r="G239" s="54"/>
      <c r="H239" s="54"/>
      <c r="I239" s="55"/>
      <c r="J239" s="55"/>
      <c r="K239" s="53"/>
      <c r="L239" s="54"/>
      <c r="M239" s="55"/>
      <c r="N239" s="53"/>
      <c r="O239" s="70"/>
    </row>
    <row r="240" ht="18.6" customHeight="1" spans="1:15">
      <c r="A240" s="123">
        <v>1</v>
      </c>
      <c r="B240" s="121">
        <v>2</v>
      </c>
      <c r="C240" s="121">
        <v>3</v>
      </c>
      <c r="D240" s="121">
        <v>4</v>
      </c>
      <c r="E240" s="121">
        <v>5</v>
      </c>
      <c r="F240" s="121">
        <v>6</v>
      </c>
      <c r="G240" s="121">
        <v>7</v>
      </c>
      <c r="H240" s="121">
        <v>8</v>
      </c>
      <c r="I240" s="121">
        <v>9</v>
      </c>
      <c r="J240" s="121">
        <v>10</v>
      </c>
      <c r="K240" s="121">
        <v>11</v>
      </c>
      <c r="L240" s="121">
        <v>12</v>
      </c>
      <c r="M240" s="121">
        <v>13</v>
      </c>
      <c r="N240" s="121">
        <v>14</v>
      </c>
      <c r="O240" s="132">
        <v>15</v>
      </c>
    </row>
    <row r="241" ht="18.6" customHeight="1" spans="1:15">
      <c r="A241" s="123">
        <v>16</v>
      </c>
      <c r="B241" s="121">
        <v>17</v>
      </c>
      <c r="C241" s="121">
        <v>18</v>
      </c>
      <c r="D241" s="121">
        <v>19</v>
      </c>
      <c r="E241" s="121">
        <v>20</v>
      </c>
      <c r="F241" s="121">
        <v>21</v>
      </c>
      <c r="G241" s="121">
        <v>22</v>
      </c>
      <c r="H241" s="121">
        <v>23</v>
      </c>
      <c r="I241" s="121">
        <v>24</v>
      </c>
      <c r="J241" s="121">
        <v>25</v>
      </c>
      <c r="K241" s="121">
        <v>26</v>
      </c>
      <c r="L241" s="121">
        <v>27</v>
      </c>
      <c r="M241" s="121">
        <v>28</v>
      </c>
      <c r="N241" s="121">
        <v>29</v>
      </c>
      <c r="O241" s="132">
        <v>30</v>
      </c>
    </row>
    <row r="242" ht="10.95" customHeight="1" spans="1:15">
      <c r="A242" s="123">
        <v>31</v>
      </c>
      <c r="B242" s="121">
        <v>32</v>
      </c>
      <c r="C242" s="121">
        <v>33</v>
      </c>
      <c r="D242" s="121">
        <v>34</v>
      </c>
      <c r="E242" s="126">
        <v>35</v>
      </c>
      <c r="F242" s="114" t="s">
        <v>42</v>
      </c>
      <c r="G242" s="112"/>
      <c r="H242" s="116" t="s">
        <v>43</v>
      </c>
      <c r="I242" s="114" t="s">
        <v>44</v>
      </c>
      <c r="J242" s="112"/>
      <c r="K242" s="116" t="s">
        <v>45</v>
      </c>
      <c r="L242" s="116" t="s">
        <v>46</v>
      </c>
      <c r="M242" s="116" t="s">
        <v>47</v>
      </c>
      <c r="N242" s="116" t="s">
        <v>48</v>
      </c>
      <c r="O242" s="127" t="s">
        <v>49</v>
      </c>
    </row>
    <row r="243" ht="15.45" customHeight="1" spans="1:15">
      <c r="A243" s="123"/>
      <c r="B243" s="121"/>
      <c r="C243" s="121"/>
      <c r="D243" s="121"/>
      <c r="E243" s="126"/>
      <c r="F243" s="128"/>
      <c r="G243" s="129"/>
      <c r="H243" s="130"/>
      <c r="I243" s="128"/>
      <c r="J243" s="129"/>
      <c r="K243" s="130"/>
      <c r="L243" s="130"/>
      <c r="M243" s="130"/>
      <c r="N243" s="130"/>
      <c r="O243" s="131"/>
    </row>
    <row r="244" ht="9.6" customHeight="1" spans="1:15">
      <c r="A244" s="39"/>
      <c r="O244" s="41"/>
    </row>
    <row r="245" s="24" customFormat="1" ht="19.35" customHeight="1" spans="1:15">
      <c r="A245" s="133" t="s">
        <v>50</v>
      </c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5"/>
    </row>
    <row r="246" ht="19.8" spans="1:15">
      <c r="A246" s="27" t="s">
        <v>16</v>
      </c>
      <c r="B246" s="28"/>
      <c r="C246" s="28"/>
      <c r="D246" s="28"/>
      <c r="E246" s="29"/>
      <c r="F246" s="29"/>
      <c r="G246" s="29"/>
      <c r="H246" s="29"/>
      <c r="I246" s="29"/>
      <c r="J246" s="29"/>
      <c r="K246" s="29"/>
      <c r="L246" s="30" t="s">
        <v>17</v>
      </c>
      <c r="M246" s="30"/>
      <c r="N246" s="30"/>
      <c r="O246" s="31"/>
    </row>
    <row r="247" customHeight="1" spans="1:15">
      <c r="A247" s="39"/>
      <c r="H247" s="75" t="s">
        <v>18</v>
      </c>
      <c r="I247" s="75" t="s">
        <v>19</v>
      </c>
      <c r="J247" s="75" t="s">
        <v>20</v>
      </c>
      <c r="O247" s="41"/>
    </row>
    <row r="248" customHeight="1" spans="1:15">
      <c r="A248" s="76">
        <f>List!F9</f>
        <v>0</v>
      </c>
      <c r="B248" s="77"/>
      <c r="C248" s="77"/>
      <c r="E248" s="77">
        <f>List!G9</f>
        <v>0</v>
      </c>
      <c r="F248" s="77"/>
      <c r="H248" s="62"/>
      <c r="I248" s="78" t="s">
        <v>21</v>
      </c>
      <c r="J248" s="78"/>
      <c r="L248" s="79" t="s">
        <v>22</v>
      </c>
      <c r="M248" s="80"/>
      <c r="N248" s="81" t="str">
        <f>List!I9</f>
        <v/>
      </c>
      <c r="O248" s="82"/>
    </row>
    <row r="249" customHeight="1" spans="1:15">
      <c r="A249" s="39" t="s">
        <v>5</v>
      </c>
      <c r="E249" s="26" t="s">
        <v>6</v>
      </c>
      <c r="L249" s="26" t="s">
        <v>23</v>
      </c>
      <c r="N249" s="26" t="s">
        <v>24</v>
      </c>
      <c r="O249" s="41"/>
    </row>
    <row r="250" customHeight="1" spans="1:15">
      <c r="A250" s="39"/>
      <c r="H250" s="83" t="s">
        <v>25</v>
      </c>
      <c r="I250" s="84"/>
      <c r="J250" s="85"/>
      <c r="L250" s="80"/>
      <c r="M250" s="80"/>
      <c r="N250" s="86"/>
      <c r="O250" s="87"/>
    </row>
    <row r="251" customHeight="1" spans="1:15">
      <c r="A251" s="88"/>
      <c r="B251" s="89" t="s">
        <v>26</v>
      </c>
      <c r="C251" s="80"/>
      <c r="E251" s="90">
        <f>List!E9</f>
        <v>0</v>
      </c>
      <c r="F251" s="80"/>
      <c r="H251" s="91"/>
      <c r="I251" s="92"/>
      <c r="J251" s="93"/>
      <c r="L251" s="26" t="s">
        <v>27</v>
      </c>
      <c r="N251" s="26" t="s">
        <v>28</v>
      </c>
      <c r="O251" s="41"/>
    </row>
    <row r="252" s="24" customFormat="1" customHeight="1" spans="1:15">
      <c r="A252" s="94" t="s">
        <v>29</v>
      </c>
      <c r="E252" s="24" t="s">
        <v>4</v>
      </c>
      <c r="H252" s="95"/>
      <c r="I252" s="96"/>
      <c r="J252" s="97"/>
      <c r="O252" s="98"/>
    </row>
    <row r="253" s="24" customFormat="1" customHeight="1" spans="1:15">
      <c r="A253" s="94"/>
      <c r="H253" s="99"/>
      <c r="J253" s="99"/>
      <c r="O253" s="98"/>
    </row>
    <row r="254" s="25" customFormat="1" customHeight="1" spans="1:15">
      <c r="A254" s="100"/>
      <c r="C254" s="101"/>
      <c r="D254" s="102" t="s">
        <v>30</v>
      </c>
      <c r="E254" s="103"/>
      <c r="F254" s="104">
        <v>1</v>
      </c>
      <c r="G254" s="104">
        <v>2</v>
      </c>
      <c r="H254" s="104">
        <v>3</v>
      </c>
      <c r="I254" s="104">
        <v>4</v>
      </c>
      <c r="J254" s="104">
        <v>5</v>
      </c>
      <c r="K254" s="104">
        <v>6</v>
      </c>
      <c r="L254" s="104">
        <v>7</v>
      </c>
      <c r="M254" s="104">
        <v>8</v>
      </c>
      <c r="N254" s="104">
        <v>9</v>
      </c>
      <c r="O254" s="105">
        <v>10</v>
      </c>
    </row>
    <row r="255" customHeight="1" spans="1:15">
      <c r="A255" s="106" t="str">
        <f>List!L9</f>
        <v>SL</v>
      </c>
      <c r="B255" s="90"/>
      <c r="C255" s="101"/>
      <c r="D255" s="53">
        <v>600000</v>
      </c>
      <c r="E255" s="54"/>
      <c r="F255" s="62"/>
      <c r="G255" s="107"/>
      <c r="H255" s="108"/>
      <c r="I255" s="62"/>
      <c r="J255" s="62"/>
      <c r="K255" s="62"/>
      <c r="L255" s="62"/>
      <c r="M255" s="62"/>
      <c r="N255" s="62"/>
      <c r="O255" s="63"/>
    </row>
    <row r="256" customHeight="1" spans="1:15">
      <c r="A256" s="39" t="s">
        <v>31</v>
      </c>
      <c r="C256" s="101"/>
      <c r="D256" s="109"/>
      <c r="E256" s="110"/>
      <c r="F256" s="62"/>
      <c r="G256" s="107"/>
      <c r="H256" s="62"/>
      <c r="I256" s="62"/>
      <c r="J256" s="62"/>
      <c r="K256" s="62"/>
      <c r="L256" s="62"/>
      <c r="M256" s="62"/>
      <c r="N256" s="62"/>
      <c r="O256" s="63"/>
    </row>
    <row r="257" customHeight="1" spans="1:15">
      <c r="A257" s="39"/>
      <c r="D257" s="109"/>
      <c r="E257" s="110"/>
      <c r="F257" s="62"/>
      <c r="G257" s="62"/>
      <c r="H257" s="62"/>
      <c r="I257" s="62"/>
      <c r="J257" s="62"/>
      <c r="K257" s="62"/>
      <c r="L257" s="62"/>
      <c r="M257" s="62"/>
      <c r="N257" s="62"/>
      <c r="O257" s="63"/>
    </row>
    <row r="258" customHeight="1" spans="1:15">
      <c r="A258" s="39"/>
      <c r="O258" s="41"/>
    </row>
    <row r="259" ht="11.4" customHeight="1" spans="1:15">
      <c r="A259" s="111" t="s">
        <v>32</v>
      </c>
      <c r="B259" s="112"/>
      <c r="C259" s="113"/>
      <c r="D259" s="114" t="s">
        <v>33</v>
      </c>
      <c r="E259" s="113"/>
      <c r="F259" s="114" t="s">
        <v>34</v>
      </c>
      <c r="G259" s="112"/>
      <c r="H259" s="113"/>
      <c r="I259" s="115" t="s">
        <v>35</v>
      </c>
      <c r="J259" s="116" t="s">
        <v>36</v>
      </c>
      <c r="K259" s="114" t="s">
        <v>37</v>
      </c>
      <c r="L259" s="113"/>
      <c r="M259" s="117" t="s">
        <v>38</v>
      </c>
      <c r="N259" s="114" t="s">
        <v>39</v>
      </c>
      <c r="O259" s="118"/>
    </row>
    <row r="260" ht="16.95" customHeight="1" spans="1:15">
      <c r="A260" s="51" t="str">
        <f>List!H9</f>
        <v/>
      </c>
      <c r="B260" s="54"/>
      <c r="C260" s="52"/>
      <c r="D260" s="53">
        <v>600000</v>
      </c>
      <c r="E260" s="54"/>
      <c r="F260" s="53" t="str">
        <f>List!J9</f>
        <v>FRESH  GINGER</v>
      </c>
      <c r="G260" s="54"/>
      <c r="H260" s="54"/>
      <c r="I260" s="55" t="s">
        <v>40</v>
      </c>
      <c r="J260" s="55" t="s">
        <v>41</v>
      </c>
      <c r="K260" s="53" t="str">
        <f>List!K9</f>
        <v>Santao</v>
      </c>
      <c r="L260" s="54"/>
      <c r="M260" s="55"/>
      <c r="N260" s="53"/>
      <c r="O260" s="70"/>
    </row>
    <row r="261" ht="18" customHeight="1" spans="1:15">
      <c r="A261" s="119">
        <v>1</v>
      </c>
      <c r="B261" s="120">
        <v>2</v>
      </c>
      <c r="C261" s="120">
        <v>3</v>
      </c>
      <c r="D261" s="121">
        <v>9</v>
      </c>
      <c r="E261" s="121">
        <v>5</v>
      </c>
      <c r="F261" s="121">
        <v>6</v>
      </c>
      <c r="G261" s="121">
        <v>7</v>
      </c>
      <c r="H261" s="121">
        <v>8</v>
      </c>
      <c r="I261" s="120">
        <v>9</v>
      </c>
      <c r="J261" s="120">
        <v>10</v>
      </c>
      <c r="K261" s="120">
        <v>11</v>
      </c>
      <c r="L261" s="120">
        <v>12</v>
      </c>
      <c r="M261" s="120">
        <v>13</v>
      </c>
      <c r="N261" s="120">
        <v>14</v>
      </c>
      <c r="O261" s="122">
        <v>15</v>
      </c>
    </row>
    <row r="262" ht="18" customHeight="1" spans="1:15">
      <c r="A262" s="123">
        <v>16</v>
      </c>
      <c r="B262" s="121">
        <v>17</v>
      </c>
      <c r="C262" s="121">
        <v>18</v>
      </c>
      <c r="D262" s="121">
        <v>19</v>
      </c>
      <c r="E262" s="121">
        <v>20</v>
      </c>
      <c r="F262" s="124">
        <v>21</v>
      </c>
      <c r="G262" s="124">
        <v>22</v>
      </c>
      <c r="H262" s="124">
        <v>23</v>
      </c>
      <c r="I262" s="124">
        <v>24</v>
      </c>
      <c r="J262" s="124">
        <v>25</v>
      </c>
      <c r="K262" s="124">
        <v>26</v>
      </c>
      <c r="L262" s="124">
        <v>27</v>
      </c>
      <c r="M262" s="124">
        <v>28</v>
      </c>
      <c r="N262" s="124">
        <v>29</v>
      </c>
      <c r="O262" s="125">
        <v>30</v>
      </c>
    </row>
    <row r="263" ht="10.95" customHeight="1" spans="1:15">
      <c r="A263" s="123">
        <v>31</v>
      </c>
      <c r="B263" s="121">
        <v>32</v>
      </c>
      <c r="C263" s="121">
        <v>33</v>
      </c>
      <c r="D263" s="121">
        <v>34</v>
      </c>
      <c r="E263" s="126">
        <v>35</v>
      </c>
      <c r="F263" s="114" t="s">
        <v>42</v>
      </c>
      <c r="G263" s="112"/>
      <c r="H263" s="116" t="s">
        <v>43</v>
      </c>
      <c r="I263" s="114" t="s">
        <v>44</v>
      </c>
      <c r="J263" s="112"/>
      <c r="K263" s="116" t="s">
        <v>45</v>
      </c>
      <c r="L263" s="116" t="s">
        <v>46</v>
      </c>
      <c r="M263" s="116" t="s">
        <v>47</v>
      </c>
      <c r="N263" s="116" t="s">
        <v>48</v>
      </c>
      <c r="O263" s="127" t="s">
        <v>49</v>
      </c>
    </row>
    <row r="264" ht="10.2" customHeight="1" spans="1:15">
      <c r="A264" s="123"/>
      <c r="B264" s="121"/>
      <c r="C264" s="121"/>
      <c r="D264" s="121"/>
      <c r="E264" s="126"/>
      <c r="F264" s="128"/>
      <c r="G264" s="129"/>
      <c r="H264" s="130"/>
      <c r="I264" s="128"/>
      <c r="J264" s="129"/>
      <c r="K264" s="130"/>
      <c r="L264" s="130"/>
      <c r="M264" s="130"/>
      <c r="N264" s="130"/>
      <c r="O264" s="131"/>
    </row>
    <row r="265" ht="9.9" customHeight="1" spans="1:15">
      <c r="A265" s="39"/>
      <c r="O265" s="41"/>
    </row>
    <row r="266" ht="10.5" customHeight="1" spans="1:15">
      <c r="A266" s="111" t="s">
        <v>32</v>
      </c>
      <c r="B266" s="112"/>
      <c r="C266" s="113"/>
      <c r="D266" s="114" t="s">
        <v>33</v>
      </c>
      <c r="E266" s="113"/>
      <c r="F266" s="114" t="s">
        <v>34</v>
      </c>
      <c r="G266" s="112"/>
      <c r="H266" s="113"/>
      <c r="I266" s="115" t="s">
        <v>35</v>
      </c>
      <c r="J266" s="116" t="s">
        <v>36</v>
      </c>
      <c r="K266" s="114" t="s">
        <v>37</v>
      </c>
      <c r="L266" s="113"/>
      <c r="M266" s="117" t="s">
        <v>38</v>
      </c>
      <c r="N266" s="114" t="s">
        <v>39</v>
      </c>
      <c r="O266" s="118"/>
    </row>
    <row r="267" ht="15" customHeight="1" spans="1:15">
      <c r="A267" s="51"/>
      <c r="B267" s="54"/>
      <c r="C267" s="54"/>
      <c r="D267" s="53"/>
      <c r="E267" s="54"/>
      <c r="F267" s="53"/>
      <c r="G267" s="54"/>
      <c r="H267" s="54"/>
      <c r="I267" s="55"/>
      <c r="J267" s="55"/>
      <c r="K267" s="53"/>
      <c r="L267" s="54"/>
      <c r="M267" s="55"/>
      <c r="N267" s="53"/>
      <c r="O267" s="70"/>
    </row>
    <row r="268" ht="17.4" customHeight="1" spans="1:15">
      <c r="A268" s="123">
        <v>1</v>
      </c>
      <c r="B268" s="121">
        <v>2</v>
      </c>
      <c r="C268" s="121">
        <v>3</v>
      </c>
      <c r="D268" s="121">
        <v>4</v>
      </c>
      <c r="E268" s="121">
        <v>5</v>
      </c>
      <c r="F268" s="121">
        <v>6</v>
      </c>
      <c r="G268" s="121">
        <v>7</v>
      </c>
      <c r="H268" s="121">
        <v>8</v>
      </c>
      <c r="I268" s="121">
        <v>9</v>
      </c>
      <c r="J268" s="121">
        <v>10</v>
      </c>
      <c r="K268" s="121">
        <v>11</v>
      </c>
      <c r="L268" s="121">
        <v>12</v>
      </c>
      <c r="M268" s="121">
        <v>13</v>
      </c>
      <c r="N268" s="121">
        <v>14</v>
      </c>
      <c r="O268" s="132">
        <v>15</v>
      </c>
    </row>
    <row r="269" ht="17.4" customHeight="1" spans="1:15">
      <c r="A269" s="123">
        <v>16</v>
      </c>
      <c r="B269" s="121">
        <v>17</v>
      </c>
      <c r="C269" s="121">
        <v>18</v>
      </c>
      <c r="D269" s="121">
        <v>19</v>
      </c>
      <c r="E269" s="121">
        <v>20</v>
      </c>
      <c r="F269" s="121">
        <v>21</v>
      </c>
      <c r="G269" s="121">
        <v>22</v>
      </c>
      <c r="H269" s="121">
        <v>23</v>
      </c>
      <c r="I269" s="121">
        <v>24</v>
      </c>
      <c r="J269" s="121">
        <v>25</v>
      </c>
      <c r="K269" s="121">
        <v>26</v>
      </c>
      <c r="L269" s="121">
        <v>27</v>
      </c>
      <c r="M269" s="121">
        <v>28</v>
      </c>
      <c r="N269" s="121">
        <v>29</v>
      </c>
      <c r="O269" s="132">
        <v>30</v>
      </c>
    </row>
    <row r="270" ht="10.95" customHeight="1" spans="1:15">
      <c r="A270" s="123">
        <v>31</v>
      </c>
      <c r="B270" s="121">
        <v>32</v>
      </c>
      <c r="C270" s="121">
        <v>33</v>
      </c>
      <c r="D270" s="121">
        <v>34</v>
      </c>
      <c r="E270" s="126">
        <v>35</v>
      </c>
      <c r="F270" s="114" t="s">
        <v>42</v>
      </c>
      <c r="G270" s="112"/>
      <c r="H270" s="116" t="s">
        <v>43</v>
      </c>
      <c r="I270" s="114" t="s">
        <v>44</v>
      </c>
      <c r="J270" s="112"/>
      <c r="K270" s="116" t="s">
        <v>45</v>
      </c>
      <c r="L270" s="116" t="s">
        <v>46</v>
      </c>
      <c r="M270" s="116" t="s">
        <v>47</v>
      </c>
      <c r="N270" s="116" t="s">
        <v>48</v>
      </c>
      <c r="O270" s="127" t="s">
        <v>49</v>
      </c>
    </row>
    <row r="271" ht="9.6" customHeight="1" spans="1:15">
      <c r="A271" s="123"/>
      <c r="B271" s="121"/>
      <c r="C271" s="121"/>
      <c r="D271" s="121"/>
      <c r="E271" s="126"/>
      <c r="F271" s="128"/>
      <c r="G271" s="129"/>
      <c r="H271" s="130"/>
      <c r="I271" s="128"/>
      <c r="J271" s="129"/>
      <c r="K271" s="130"/>
      <c r="L271" s="130"/>
      <c r="M271" s="130"/>
      <c r="N271" s="130"/>
      <c r="O271" s="131"/>
    </row>
    <row r="272" ht="9.9" customHeight="1" spans="1:15">
      <c r="A272" s="39"/>
      <c r="O272" s="41"/>
    </row>
    <row r="273" ht="10.5" customHeight="1" spans="1:15">
      <c r="A273" s="111" t="s">
        <v>32</v>
      </c>
      <c r="B273" s="112"/>
      <c r="C273" s="113"/>
      <c r="D273" s="114" t="s">
        <v>33</v>
      </c>
      <c r="E273" s="113"/>
      <c r="F273" s="114" t="s">
        <v>34</v>
      </c>
      <c r="G273" s="112"/>
      <c r="H273" s="113"/>
      <c r="I273" s="115" t="s">
        <v>35</v>
      </c>
      <c r="J273" s="116" t="s">
        <v>36</v>
      </c>
      <c r="K273" s="114" t="s">
        <v>37</v>
      </c>
      <c r="L273" s="113"/>
      <c r="M273" s="117" t="s">
        <v>38</v>
      </c>
      <c r="N273" s="114" t="s">
        <v>39</v>
      </c>
      <c r="O273" s="118"/>
    </row>
    <row r="274" ht="17.4" customHeight="1" spans="1:15">
      <c r="A274" s="51"/>
      <c r="B274" s="54"/>
      <c r="C274" s="54"/>
      <c r="D274" s="53"/>
      <c r="E274" s="54"/>
      <c r="F274" s="53"/>
      <c r="G274" s="54"/>
      <c r="H274" s="54"/>
      <c r="I274" s="55"/>
      <c r="J274" s="55"/>
      <c r="K274" s="53"/>
      <c r="L274" s="54"/>
      <c r="M274" s="55"/>
      <c r="N274" s="53"/>
      <c r="O274" s="70"/>
    </row>
    <row r="275" ht="18.6" customHeight="1" spans="1:15">
      <c r="A275" s="123">
        <v>1</v>
      </c>
      <c r="B275" s="121">
        <v>2</v>
      </c>
      <c r="C275" s="121">
        <v>3</v>
      </c>
      <c r="D275" s="121">
        <v>4</v>
      </c>
      <c r="E275" s="121">
        <v>5</v>
      </c>
      <c r="F275" s="121">
        <v>6</v>
      </c>
      <c r="G275" s="121">
        <v>7</v>
      </c>
      <c r="H275" s="121">
        <v>8</v>
      </c>
      <c r="I275" s="121">
        <v>9</v>
      </c>
      <c r="J275" s="121">
        <v>10</v>
      </c>
      <c r="K275" s="121">
        <v>11</v>
      </c>
      <c r="L275" s="121">
        <v>12</v>
      </c>
      <c r="M275" s="121">
        <v>13</v>
      </c>
      <c r="N275" s="121">
        <v>14</v>
      </c>
      <c r="O275" s="132">
        <v>15</v>
      </c>
    </row>
    <row r="276" ht="18.6" customHeight="1" spans="1:15">
      <c r="A276" s="123">
        <v>16</v>
      </c>
      <c r="B276" s="121">
        <v>17</v>
      </c>
      <c r="C276" s="121">
        <v>18</v>
      </c>
      <c r="D276" s="121">
        <v>19</v>
      </c>
      <c r="E276" s="121">
        <v>20</v>
      </c>
      <c r="F276" s="121">
        <v>21</v>
      </c>
      <c r="G276" s="121">
        <v>22</v>
      </c>
      <c r="H276" s="121">
        <v>23</v>
      </c>
      <c r="I276" s="121">
        <v>24</v>
      </c>
      <c r="J276" s="121">
        <v>25</v>
      </c>
      <c r="K276" s="121">
        <v>26</v>
      </c>
      <c r="L276" s="121">
        <v>27</v>
      </c>
      <c r="M276" s="121">
        <v>28</v>
      </c>
      <c r="N276" s="121">
        <v>29</v>
      </c>
      <c r="O276" s="132">
        <v>30</v>
      </c>
    </row>
    <row r="277" ht="10.95" customHeight="1" spans="1:15">
      <c r="A277" s="123">
        <v>31</v>
      </c>
      <c r="B277" s="121">
        <v>32</v>
      </c>
      <c r="C277" s="121">
        <v>33</v>
      </c>
      <c r="D277" s="121">
        <v>34</v>
      </c>
      <c r="E277" s="126">
        <v>35</v>
      </c>
      <c r="F277" s="114" t="s">
        <v>42</v>
      </c>
      <c r="G277" s="112"/>
      <c r="H277" s="116" t="s">
        <v>43</v>
      </c>
      <c r="I277" s="114" t="s">
        <v>44</v>
      </c>
      <c r="J277" s="112"/>
      <c r="K277" s="116" t="s">
        <v>45</v>
      </c>
      <c r="L277" s="116" t="s">
        <v>46</v>
      </c>
      <c r="M277" s="116" t="s">
        <v>47</v>
      </c>
      <c r="N277" s="116" t="s">
        <v>48</v>
      </c>
      <c r="O277" s="127" t="s">
        <v>49</v>
      </c>
    </row>
    <row r="278" ht="15.45" customHeight="1" spans="1:15">
      <c r="A278" s="123"/>
      <c r="B278" s="121"/>
      <c r="C278" s="121"/>
      <c r="D278" s="121"/>
      <c r="E278" s="126"/>
      <c r="F278" s="128"/>
      <c r="G278" s="129"/>
      <c r="H278" s="130"/>
      <c r="I278" s="128"/>
      <c r="J278" s="129"/>
      <c r="K278" s="130"/>
      <c r="L278" s="130"/>
      <c r="M278" s="130"/>
      <c r="N278" s="130"/>
      <c r="O278" s="131"/>
    </row>
    <row r="279" ht="9.6" customHeight="1" spans="1:15">
      <c r="A279" s="39"/>
      <c r="O279" s="41"/>
    </row>
    <row r="280" s="24" customFormat="1" ht="19.35" customHeight="1" spans="1:15">
      <c r="A280" s="133" t="s">
        <v>50</v>
      </c>
      <c r="B280" s="134"/>
      <c r="C280" s="134"/>
      <c r="D280" s="13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5"/>
    </row>
    <row r="281" ht="19.8" spans="1:15">
      <c r="A281" s="27" t="s">
        <v>16</v>
      </c>
      <c r="B281" s="28"/>
      <c r="C281" s="28"/>
      <c r="D281" s="28"/>
      <c r="E281" s="29"/>
      <c r="F281" s="29"/>
      <c r="G281" s="29"/>
      <c r="H281" s="29"/>
      <c r="I281" s="29"/>
      <c r="J281" s="29"/>
      <c r="K281" s="29"/>
      <c r="L281" s="30" t="s">
        <v>17</v>
      </c>
      <c r="M281" s="30"/>
      <c r="N281" s="30"/>
      <c r="O281" s="31"/>
    </row>
    <row r="282" customHeight="1" spans="1:15">
      <c r="A282" s="39"/>
      <c r="H282" s="75" t="s">
        <v>18</v>
      </c>
      <c r="I282" s="75" t="s">
        <v>19</v>
      </c>
      <c r="J282" s="75" t="s">
        <v>20</v>
      </c>
      <c r="O282" s="41"/>
    </row>
    <row r="283" customHeight="1" spans="1:15">
      <c r="A283" s="76">
        <f>List!F10</f>
        <v>0</v>
      </c>
      <c r="B283" s="77"/>
      <c r="C283" s="77"/>
      <c r="E283" s="77">
        <f>List!G10</f>
        <v>0</v>
      </c>
      <c r="F283" s="77"/>
      <c r="H283" s="62"/>
      <c r="I283" s="78" t="s">
        <v>21</v>
      </c>
      <c r="J283" s="78"/>
      <c r="L283" s="79" t="s">
        <v>22</v>
      </c>
      <c r="M283" s="80"/>
      <c r="N283" s="81" t="str">
        <f>List!I10</f>
        <v/>
      </c>
      <c r="O283" s="82"/>
    </row>
    <row r="284" customHeight="1" spans="1:15">
      <c r="A284" s="39" t="s">
        <v>5</v>
      </c>
      <c r="E284" s="26" t="s">
        <v>6</v>
      </c>
      <c r="L284" s="26" t="s">
        <v>23</v>
      </c>
      <c r="N284" s="26" t="s">
        <v>24</v>
      </c>
      <c r="O284" s="41"/>
    </row>
    <row r="285" customHeight="1" spans="1:15">
      <c r="A285" s="39"/>
      <c r="H285" s="83" t="s">
        <v>25</v>
      </c>
      <c r="I285" s="84"/>
      <c r="J285" s="85"/>
      <c r="L285" s="80"/>
      <c r="M285" s="80"/>
      <c r="N285" s="86"/>
      <c r="O285" s="87"/>
    </row>
    <row r="286" customHeight="1" spans="1:15">
      <c r="A286" s="88"/>
      <c r="B286" s="89" t="s">
        <v>26</v>
      </c>
      <c r="C286" s="80"/>
      <c r="E286" s="90">
        <f>List!E10</f>
        <v>0</v>
      </c>
      <c r="F286" s="80"/>
      <c r="H286" s="91"/>
      <c r="I286" s="92"/>
      <c r="J286" s="93"/>
      <c r="L286" s="26" t="s">
        <v>27</v>
      </c>
      <c r="N286" s="26" t="s">
        <v>28</v>
      </c>
      <c r="O286" s="41"/>
    </row>
    <row r="287" s="24" customFormat="1" customHeight="1" spans="1:15">
      <c r="A287" s="94" t="s">
        <v>29</v>
      </c>
      <c r="E287" s="24" t="s">
        <v>4</v>
      </c>
      <c r="H287" s="95"/>
      <c r="I287" s="96"/>
      <c r="J287" s="97"/>
      <c r="O287" s="98"/>
    </row>
    <row r="288" s="24" customFormat="1" customHeight="1" spans="1:15">
      <c r="A288" s="94"/>
      <c r="H288" s="99"/>
      <c r="J288" s="99"/>
      <c r="O288" s="98"/>
    </row>
    <row r="289" s="25" customFormat="1" customHeight="1" spans="1:15">
      <c r="A289" s="100"/>
      <c r="C289" s="101"/>
      <c r="D289" s="102" t="s">
        <v>30</v>
      </c>
      <c r="E289" s="103"/>
      <c r="F289" s="104">
        <v>1</v>
      </c>
      <c r="G289" s="104">
        <v>2</v>
      </c>
      <c r="H289" s="104">
        <v>3</v>
      </c>
      <c r="I289" s="104">
        <v>4</v>
      </c>
      <c r="J289" s="104">
        <v>5</v>
      </c>
      <c r="K289" s="104">
        <v>6</v>
      </c>
      <c r="L289" s="104">
        <v>7</v>
      </c>
      <c r="M289" s="104">
        <v>8</v>
      </c>
      <c r="N289" s="104">
        <v>9</v>
      </c>
      <c r="O289" s="105">
        <v>10</v>
      </c>
    </row>
    <row r="290" customHeight="1" spans="1:15">
      <c r="A290" s="106" t="str">
        <f>List!L10</f>
        <v>SL</v>
      </c>
      <c r="B290" s="90"/>
      <c r="C290" s="101"/>
      <c r="D290" s="53">
        <v>600000</v>
      </c>
      <c r="E290" s="54"/>
      <c r="F290" s="62"/>
      <c r="G290" s="107"/>
      <c r="H290" s="108"/>
      <c r="I290" s="62"/>
      <c r="J290" s="62"/>
      <c r="K290" s="62"/>
      <c r="L290" s="62"/>
      <c r="M290" s="62"/>
      <c r="N290" s="62"/>
      <c r="O290" s="63"/>
    </row>
    <row r="291" customHeight="1" spans="1:15">
      <c r="A291" s="39" t="s">
        <v>31</v>
      </c>
      <c r="C291" s="101"/>
      <c r="D291" s="109"/>
      <c r="E291" s="110"/>
      <c r="F291" s="62"/>
      <c r="G291" s="107"/>
      <c r="H291" s="62"/>
      <c r="I291" s="62"/>
      <c r="J291" s="62"/>
      <c r="K291" s="62"/>
      <c r="L291" s="62"/>
      <c r="M291" s="62"/>
      <c r="N291" s="62"/>
      <c r="O291" s="63"/>
    </row>
    <row r="292" customHeight="1" spans="1:15">
      <c r="A292" s="39"/>
      <c r="D292" s="109"/>
      <c r="E292" s="110"/>
      <c r="F292" s="62"/>
      <c r="G292" s="62"/>
      <c r="H292" s="62"/>
      <c r="I292" s="62"/>
      <c r="J292" s="62"/>
      <c r="K292" s="62"/>
      <c r="L292" s="62"/>
      <c r="M292" s="62"/>
      <c r="N292" s="62"/>
      <c r="O292" s="63"/>
    </row>
    <row r="293" customHeight="1" spans="1:15">
      <c r="A293" s="39"/>
      <c r="O293" s="41"/>
    </row>
    <row r="294" ht="11.4" customHeight="1" spans="1:15">
      <c r="A294" s="111" t="s">
        <v>32</v>
      </c>
      <c r="B294" s="112"/>
      <c r="C294" s="113"/>
      <c r="D294" s="114" t="s">
        <v>33</v>
      </c>
      <c r="E294" s="113"/>
      <c r="F294" s="114" t="s">
        <v>34</v>
      </c>
      <c r="G294" s="112"/>
      <c r="H294" s="113"/>
      <c r="I294" s="115" t="s">
        <v>35</v>
      </c>
      <c r="J294" s="116" t="s">
        <v>36</v>
      </c>
      <c r="K294" s="114" t="s">
        <v>37</v>
      </c>
      <c r="L294" s="113"/>
      <c r="M294" s="117" t="s">
        <v>38</v>
      </c>
      <c r="N294" s="114" t="s">
        <v>39</v>
      </c>
      <c r="O294" s="118"/>
    </row>
    <row r="295" ht="16.95" customHeight="1" spans="1:15">
      <c r="A295" s="51" t="str">
        <f>List!H10</f>
        <v/>
      </c>
      <c r="B295" s="54"/>
      <c r="C295" s="52"/>
      <c r="D295" s="53">
        <v>600000</v>
      </c>
      <c r="E295" s="54"/>
      <c r="F295" s="53" t="str">
        <f>List!J10</f>
        <v>FRESH  GINGER</v>
      </c>
      <c r="G295" s="54"/>
      <c r="H295" s="54"/>
      <c r="I295" s="55" t="s">
        <v>40</v>
      </c>
      <c r="J295" s="55" t="s">
        <v>41</v>
      </c>
      <c r="K295" s="53" t="str">
        <f>List!K10</f>
        <v>Santao</v>
      </c>
      <c r="L295" s="54"/>
      <c r="M295" s="55"/>
      <c r="N295" s="53"/>
      <c r="O295" s="70"/>
    </row>
    <row r="296" ht="18" customHeight="1" spans="1:15">
      <c r="A296" s="119">
        <v>1</v>
      </c>
      <c r="B296" s="120">
        <v>2</v>
      </c>
      <c r="C296" s="120">
        <v>3</v>
      </c>
      <c r="D296" s="121">
        <v>9</v>
      </c>
      <c r="E296" s="121">
        <v>5</v>
      </c>
      <c r="F296" s="121">
        <v>6</v>
      </c>
      <c r="G296" s="121">
        <v>7</v>
      </c>
      <c r="H296" s="121">
        <v>8</v>
      </c>
      <c r="I296" s="120">
        <v>9</v>
      </c>
      <c r="J296" s="120">
        <v>10</v>
      </c>
      <c r="K296" s="120">
        <v>11</v>
      </c>
      <c r="L296" s="120">
        <v>12</v>
      </c>
      <c r="M296" s="120">
        <v>13</v>
      </c>
      <c r="N296" s="120">
        <v>14</v>
      </c>
      <c r="O296" s="122">
        <v>15</v>
      </c>
    </row>
    <row r="297" ht="18" customHeight="1" spans="1:15">
      <c r="A297" s="123">
        <v>16</v>
      </c>
      <c r="B297" s="121">
        <v>17</v>
      </c>
      <c r="C297" s="121">
        <v>18</v>
      </c>
      <c r="D297" s="121">
        <v>19</v>
      </c>
      <c r="E297" s="121">
        <v>20</v>
      </c>
      <c r="F297" s="124">
        <v>21</v>
      </c>
      <c r="G297" s="124">
        <v>22</v>
      </c>
      <c r="H297" s="124">
        <v>23</v>
      </c>
      <c r="I297" s="124">
        <v>24</v>
      </c>
      <c r="J297" s="124">
        <v>25</v>
      </c>
      <c r="K297" s="124">
        <v>26</v>
      </c>
      <c r="L297" s="124">
        <v>27</v>
      </c>
      <c r="M297" s="124">
        <v>28</v>
      </c>
      <c r="N297" s="124">
        <v>29</v>
      </c>
      <c r="O297" s="125">
        <v>30</v>
      </c>
    </row>
    <row r="298" ht="10.95" customHeight="1" spans="1:15">
      <c r="A298" s="123">
        <v>31</v>
      </c>
      <c r="B298" s="121">
        <v>32</v>
      </c>
      <c r="C298" s="121">
        <v>33</v>
      </c>
      <c r="D298" s="121">
        <v>34</v>
      </c>
      <c r="E298" s="126">
        <v>35</v>
      </c>
      <c r="F298" s="114" t="s">
        <v>42</v>
      </c>
      <c r="G298" s="112"/>
      <c r="H298" s="116" t="s">
        <v>43</v>
      </c>
      <c r="I298" s="114" t="s">
        <v>44</v>
      </c>
      <c r="J298" s="112"/>
      <c r="K298" s="116" t="s">
        <v>45</v>
      </c>
      <c r="L298" s="116" t="s">
        <v>46</v>
      </c>
      <c r="M298" s="116" t="s">
        <v>47</v>
      </c>
      <c r="N298" s="116" t="s">
        <v>48</v>
      </c>
      <c r="O298" s="127" t="s">
        <v>49</v>
      </c>
    </row>
    <row r="299" ht="10.2" customHeight="1" spans="1:15">
      <c r="A299" s="123"/>
      <c r="B299" s="121"/>
      <c r="C299" s="121"/>
      <c r="D299" s="121"/>
      <c r="E299" s="126"/>
      <c r="F299" s="128"/>
      <c r="G299" s="129"/>
      <c r="H299" s="130"/>
      <c r="I299" s="128"/>
      <c r="J299" s="129"/>
      <c r="K299" s="130"/>
      <c r="L299" s="130"/>
      <c r="M299" s="130"/>
      <c r="N299" s="130"/>
      <c r="O299" s="131"/>
    </row>
    <row r="300" ht="9.9" customHeight="1" spans="1:15">
      <c r="A300" s="39"/>
      <c r="O300" s="41"/>
    </row>
    <row r="301" ht="10.5" customHeight="1" spans="1:15">
      <c r="A301" s="111" t="s">
        <v>32</v>
      </c>
      <c r="B301" s="112"/>
      <c r="C301" s="113"/>
      <c r="D301" s="114" t="s">
        <v>33</v>
      </c>
      <c r="E301" s="113"/>
      <c r="F301" s="114" t="s">
        <v>34</v>
      </c>
      <c r="G301" s="112"/>
      <c r="H301" s="113"/>
      <c r="I301" s="115" t="s">
        <v>35</v>
      </c>
      <c r="J301" s="116" t="s">
        <v>36</v>
      </c>
      <c r="K301" s="114" t="s">
        <v>37</v>
      </c>
      <c r="L301" s="113"/>
      <c r="M301" s="117" t="s">
        <v>38</v>
      </c>
      <c r="N301" s="114" t="s">
        <v>39</v>
      </c>
      <c r="O301" s="118"/>
    </row>
    <row r="302" ht="15" customHeight="1" spans="1:15">
      <c r="A302" s="51"/>
      <c r="B302" s="54"/>
      <c r="C302" s="54"/>
      <c r="D302" s="53"/>
      <c r="E302" s="54"/>
      <c r="F302" s="53"/>
      <c r="G302" s="54"/>
      <c r="H302" s="54"/>
      <c r="I302" s="55"/>
      <c r="J302" s="55"/>
      <c r="K302" s="53"/>
      <c r="L302" s="54"/>
      <c r="M302" s="55"/>
      <c r="N302" s="53"/>
      <c r="O302" s="70"/>
    </row>
    <row r="303" ht="17.4" customHeight="1" spans="1:15">
      <c r="A303" s="123">
        <v>1</v>
      </c>
      <c r="B303" s="121">
        <v>2</v>
      </c>
      <c r="C303" s="121">
        <v>3</v>
      </c>
      <c r="D303" s="121">
        <v>4</v>
      </c>
      <c r="E303" s="121">
        <v>5</v>
      </c>
      <c r="F303" s="121">
        <v>6</v>
      </c>
      <c r="G303" s="121">
        <v>7</v>
      </c>
      <c r="H303" s="121">
        <v>8</v>
      </c>
      <c r="I303" s="121">
        <v>9</v>
      </c>
      <c r="J303" s="121">
        <v>10</v>
      </c>
      <c r="K303" s="121">
        <v>11</v>
      </c>
      <c r="L303" s="121">
        <v>12</v>
      </c>
      <c r="M303" s="121">
        <v>13</v>
      </c>
      <c r="N303" s="121">
        <v>14</v>
      </c>
      <c r="O303" s="132">
        <v>15</v>
      </c>
    </row>
    <row r="304" ht="17.4" customHeight="1" spans="1:15">
      <c r="A304" s="123">
        <v>16</v>
      </c>
      <c r="B304" s="121">
        <v>17</v>
      </c>
      <c r="C304" s="121">
        <v>18</v>
      </c>
      <c r="D304" s="121">
        <v>19</v>
      </c>
      <c r="E304" s="121">
        <v>20</v>
      </c>
      <c r="F304" s="121">
        <v>21</v>
      </c>
      <c r="G304" s="121">
        <v>22</v>
      </c>
      <c r="H304" s="121">
        <v>23</v>
      </c>
      <c r="I304" s="121">
        <v>24</v>
      </c>
      <c r="J304" s="121">
        <v>25</v>
      </c>
      <c r="K304" s="121">
        <v>26</v>
      </c>
      <c r="L304" s="121">
        <v>27</v>
      </c>
      <c r="M304" s="121">
        <v>28</v>
      </c>
      <c r="N304" s="121">
        <v>29</v>
      </c>
      <c r="O304" s="132">
        <v>30</v>
      </c>
    </row>
    <row r="305" ht="10.95" customHeight="1" spans="1:15">
      <c r="A305" s="123">
        <v>31</v>
      </c>
      <c r="B305" s="121">
        <v>32</v>
      </c>
      <c r="C305" s="121">
        <v>33</v>
      </c>
      <c r="D305" s="121">
        <v>34</v>
      </c>
      <c r="E305" s="126">
        <v>35</v>
      </c>
      <c r="F305" s="114" t="s">
        <v>42</v>
      </c>
      <c r="G305" s="112"/>
      <c r="H305" s="116" t="s">
        <v>43</v>
      </c>
      <c r="I305" s="114" t="s">
        <v>44</v>
      </c>
      <c r="J305" s="112"/>
      <c r="K305" s="116" t="s">
        <v>45</v>
      </c>
      <c r="L305" s="116" t="s">
        <v>46</v>
      </c>
      <c r="M305" s="116" t="s">
        <v>47</v>
      </c>
      <c r="N305" s="116" t="s">
        <v>48</v>
      </c>
      <c r="O305" s="127" t="s">
        <v>49</v>
      </c>
    </row>
    <row r="306" ht="9.6" customHeight="1" spans="1:15">
      <c r="A306" s="123"/>
      <c r="B306" s="121"/>
      <c r="C306" s="121"/>
      <c r="D306" s="121"/>
      <c r="E306" s="126"/>
      <c r="F306" s="128"/>
      <c r="G306" s="129"/>
      <c r="H306" s="130"/>
      <c r="I306" s="128"/>
      <c r="J306" s="129"/>
      <c r="K306" s="130"/>
      <c r="L306" s="130"/>
      <c r="M306" s="130"/>
      <c r="N306" s="130"/>
      <c r="O306" s="131"/>
    </row>
    <row r="307" ht="9.9" customHeight="1" spans="1:15">
      <c r="A307" s="39"/>
      <c r="O307" s="41"/>
    </row>
    <row r="308" ht="10.5" customHeight="1" spans="1:15">
      <c r="A308" s="111" t="s">
        <v>32</v>
      </c>
      <c r="B308" s="112"/>
      <c r="C308" s="113"/>
      <c r="D308" s="114" t="s">
        <v>33</v>
      </c>
      <c r="E308" s="113"/>
      <c r="F308" s="114" t="s">
        <v>34</v>
      </c>
      <c r="G308" s="112"/>
      <c r="H308" s="113"/>
      <c r="I308" s="115" t="s">
        <v>35</v>
      </c>
      <c r="J308" s="116" t="s">
        <v>36</v>
      </c>
      <c r="K308" s="114" t="s">
        <v>37</v>
      </c>
      <c r="L308" s="113"/>
      <c r="M308" s="117" t="s">
        <v>38</v>
      </c>
      <c r="N308" s="114" t="s">
        <v>39</v>
      </c>
      <c r="O308" s="118"/>
    </row>
    <row r="309" ht="17.4" customHeight="1" spans="1:15">
      <c r="A309" s="51"/>
      <c r="B309" s="54"/>
      <c r="C309" s="54"/>
      <c r="D309" s="53"/>
      <c r="E309" s="54"/>
      <c r="F309" s="53"/>
      <c r="G309" s="54"/>
      <c r="H309" s="54"/>
      <c r="I309" s="55"/>
      <c r="J309" s="55"/>
      <c r="K309" s="53"/>
      <c r="L309" s="54"/>
      <c r="M309" s="55"/>
      <c r="N309" s="53"/>
      <c r="O309" s="70"/>
    </row>
    <row r="310" ht="18.6" customHeight="1" spans="1:15">
      <c r="A310" s="123">
        <v>1</v>
      </c>
      <c r="B310" s="121">
        <v>2</v>
      </c>
      <c r="C310" s="121">
        <v>3</v>
      </c>
      <c r="D310" s="121">
        <v>4</v>
      </c>
      <c r="E310" s="121">
        <v>5</v>
      </c>
      <c r="F310" s="121">
        <v>6</v>
      </c>
      <c r="G310" s="121">
        <v>7</v>
      </c>
      <c r="H310" s="121">
        <v>8</v>
      </c>
      <c r="I310" s="121">
        <v>9</v>
      </c>
      <c r="J310" s="121">
        <v>10</v>
      </c>
      <c r="K310" s="121">
        <v>11</v>
      </c>
      <c r="L310" s="121">
        <v>12</v>
      </c>
      <c r="M310" s="121">
        <v>13</v>
      </c>
      <c r="N310" s="121">
        <v>14</v>
      </c>
      <c r="O310" s="132">
        <v>15</v>
      </c>
    </row>
    <row r="311" ht="18.6" customHeight="1" spans="1:15">
      <c r="A311" s="123">
        <v>16</v>
      </c>
      <c r="B311" s="121">
        <v>17</v>
      </c>
      <c r="C311" s="121">
        <v>18</v>
      </c>
      <c r="D311" s="121">
        <v>19</v>
      </c>
      <c r="E311" s="121">
        <v>20</v>
      </c>
      <c r="F311" s="121">
        <v>21</v>
      </c>
      <c r="G311" s="121">
        <v>22</v>
      </c>
      <c r="H311" s="121">
        <v>23</v>
      </c>
      <c r="I311" s="121">
        <v>24</v>
      </c>
      <c r="J311" s="121">
        <v>25</v>
      </c>
      <c r="K311" s="121">
        <v>26</v>
      </c>
      <c r="L311" s="121">
        <v>27</v>
      </c>
      <c r="M311" s="121">
        <v>28</v>
      </c>
      <c r="N311" s="121">
        <v>29</v>
      </c>
      <c r="O311" s="132">
        <v>30</v>
      </c>
    </row>
    <row r="312" ht="10.95" customHeight="1" spans="1:15">
      <c r="A312" s="123">
        <v>31</v>
      </c>
      <c r="B312" s="121">
        <v>32</v>
      </c>
      <c r="C312" s="121">
        <v>33</v>
      </c>
      <c r="D312" s="121">
        <v>34</v>
      </c>
      <c r="E312" s="126">
        <v>35</v>
      </c>
      <c r="F312" s="114" t="s">
        <v>42</v>
      </c>
      <c r="G312" s="112"/>
      <c r="H312" s="116" t="s">
        <v>43</v>
      </c>
      <c r="I312" s="114" t="s">
        <v>44</v>
      </c>
      <c r="J312" s="112"/>
      <c r="K312" s="116" t="s">
        <v>45</v>
      </c>
      <c r="L312" s="116" t="s">
        <v>46</v>
      </c>
      <c r="M312" s="116" t="s">
        <v>47</v>
      </c>
      <c r="N312" s="116" t="s">
        <v>48</v>
      </c>
      <c r="O312" s="127" t="s">
        <v>49</v>
      </c>
    </row>
    <row r="313" ht="15.45" customHeight="1" spans="1:15">
      <c r="A313" s="123"/>
      <c r="B313" s="121"/>
      <c r="C313" s="121"/>
      <c r="D313" s="121"/>
      <c r="E313" s="126"/>
      <c r="F313" s="128"/>
      <c r="G313" s="129"/>
      <c r="H313" s="130"/>
      <c r="I313" s="128"/>
      <c r="J313" s="129"/>
      <c r="K313" s="130"/>
      <c r="L313" s="130"/>
      <c r="M313" s="130"/>
      <c r="N313" s="130"/>
      <c r="O313" s="131"/>
    </row>
    <row r="314" ht="9.6" customHeight="1" spans="1:15">
      <c r="A314" s="39"/>
      <c r="O314" s="41"/>
    </row>
    <row r="315" s="24" customFormat="1" ht="19.35" customHeight="1" spans="1:15">
      <c r="A315" s="133" t="s">
        <v>50</v>
      </c>
      <c r="B315" s="134"/>
      <c r="C315" s="134"/>
      <c r="D315" s="13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5"/>
    </row>
  </sheetData>
  <mergeCells count="639">
    <mergeCell ref="A1:D1"/>
    <mergeCell ref="L1:O1"/>
    <mergeCell ref="A3:C3"/>
    <mergeCell ref="E3:F3"/>
    <mergeCell ref="N3:O3"/>
    <mergeCell ref="H5:J5"/>
    <mergeCell ref="H6:J6"/>
    <mergeCell ref="H7:J7"/>
    <mergeCell ref="D9:E9"/>
    <mergeCell ref="A10:B10"/>
    <mergeCell ref="D10:E10"/>
    <mergeCell ref="D11:E11"/>
    <mergeCell ref="D12:E12"/>
    <mergeCell ref="A14:C14"/>
    <mergeCell ref="D14:E14"/>
    <mergeCell ref="F14:H14"/>
    <mergeCell ref="K14:L14"/>
    <mergeCell ref="N14:O14"/>
    <mergeCell ref="A15:C15"/>
    <mergeCell ref="D15:E15"/>
    <mergeCell ref="F15:H15"/>
    <mergeCell ref="K15:L15"/>
    <mergeCell ref="N15:O15"/>
    <mergeCell ref="F18:G18"/>
    <mergeCell ref="I18:J18"/>
    <mergeCell ref="F19:G19"/>
    <mergeCell ref="I19:J19"/>
    <mergeCell ref="A21:C21"/>
    <mergeCell ref="D21:E21"/>
    <mergeCell ref="F21:H21"/>
    <mergeCell ref="K21:L21"/>
    <mergeCell ref="N21:O21"/>
    <mergeCell ref="A22:C22"/>
    <mergeCell ref="D22:E22"/>
    <mergeCell ref="F22:H22"/>
    <mergeCell ref="K22:L22"/>
    <mergeCell ref="N22:O22"/>
    <mergeCell ref="F25:G25"/>
    <mergeCell ref="I25:J25"/>
    <mergeCell ref="F26:G26"/>
    <mergeCell ref="I26:J26"/>
    <mergeCell ref="A28:C28"/>
    <mergeCell ref="D28:E28"/>
    <mergeCell ref="F28:H28"/>
    <mergeCell ref="K28:L28"/>
    <mergeCell ref="N28:O28"/>
    <mergeCell ref="A29:C29"/>
    <mergeCell ref="D29:E29"/>
    <mergeCell ref="F29:H29"/>
    <mergeCell ref="K29:L29"/>
    <mergeCell ref="N29:O29"/>
    <mergeCell ref="F32:G32"/>
    <mergeCell ref="I32:J32"/>
    <mergeCell ref="F33:G33"/>
    <mergeCell ref="I33:J33"/>
    <mergeCell ref="A35:O35"/>
    <mergeCell ref="A36:D36"/>
    <mergeCell ref="L36:O36"/>
    <mergeCell ref="A38:C38"/>
    <mergeCell ref="E38:F38"/>
    <mergeCell ref="N38:O38"/>
    <mergeCell ref="H40:J40"/>
    <mergeCell ref="H41:J41"/>
    <mergeCell ref="H42:J42"/>
    <mergeCell ref="D44:E44"/>
    <mergeCell ref="A45:B45"/>
    <mergeCell ref="D45:E45"/>
    <mergeCell ref="D46:E46"/>
    <mergeCell ref="D47:E47"/>
    <mergeCell ref="A49:C49"/>
    <mergeCell ref="D49:E49"/>
    <mergeCell ref="F49:H49"/>
    <mergeCell ref="K49:L49"/>
    <mergeCell ref="N49:O49"/>
    <mergeCell ref="A50:C50"/>
    <mergeCell ref="D50:E50"/>
    <mergeCell ref="F50:H50"/>
    <mergeCell ref="K50:L50"/>
    <mergeCell ref="N50:O50"/>
    <mergeCell ref="F53:G53"/>
    <mergeCell ref="I53:J53"/>
    <mergeCell ref="F54:G54"/>
    <mergeCell ref="I54:J54"/>
    <mergeCell ref="A56:C56"/>
    <mergeCell ref="D56:E56"/>
    <mergeCell ref="F56:H56"/>
    <mergeCell ref="K56:L56"/>
    <mergeCell ref="N56:O56"/>
    <mergeCell ref="A57:C57"/>
    <mergeCell ref="D57:E57"/>
    <mergeCell ref="F57:H57"/>
    <mergeCell ref="K57:L57"/>
    <mergeCell ref="N57:O57"/>
    <mergeCell ref="F60:G60"/>
    <mergeCell ref="I60:J60"/>
    <mergeCell ref="F61:G61"/>
    <mergeCell ref="I61:J61"/>
    <mergeCell ref="A63:C63"/>
    <mergeCell ref="D63:E63"/>
    <mergeCell ref="F63:H63"/>
    <mergeCell ref="K63:L63"/>
    <mergeCell ref="N63:O63"/>
    <mergeCell ref="A64:C64"/>
    <mergeCell ref="D64:E64"/>
    <mergeCell ref="F64:H64"/>
    <mergeCell ref="K64:L64"/>
    <mergeCell ref="N64:O64"/>
    <mergeCell ref="F67:G67"/>
    <mergeCell ref="I67:J67"/>
    <mergeCell ref="F68:G68"/>
    <mergeCell ref="I68:J68"/>
    <mergeCell ref="A70:O70"/>
    <mergeCell ref="A71:D71"/>
    <mergeCell ref="L71:O71"/>
    <mergeCell ref="A73:C73"/>
    <mergeCell ref="E73:F73"/>
    <mergeCell ref="N73:O73"/>
    <mergeCell ref="H75:J75"/>
    <mergeCell ref="H76:J76"/>
    <mergeCell ref="H77:J77"/>
    <mergeCell ref="D79:E79"/>
    <mergeCell ref="A80:B80"/>
    <mergeCell ref="D80:E80"/>
    <mergeCell ref="D81:E81"/>
    <mergeCell ref="D82:E82"/>
    <mergeCell ref="A84:C84"/>
    <mergeCell ref="D84:E84"/>
    <mergeCell ref="F84:H84"/>
    <mergeCell ref="K84:L84"/>
    <mergeCell ref="N84:O84"/>
    <mergeCell ref="A85:C85"/>
    <mergeCell ref="D85:E85"/>
    <mergeCell ref="F85:H85"/>
    <mergeCell ref="K85:L85"/>
    <mergeCell ref="N85:O85"/>
    <mergeCell ref="F88:G88"/>
    <mergeCell ref="I88:J88"/>
    <mergeCell ref="F89:G89"/>
    <mergeCell ref="I89:J89"/>
    <mergeCell ref="A91:C91"/>
    <mergeCell ref="D91:E91"/>
    <mergeCell ref="F91:H91"/>
    <mergeCell ref="K91:L91"/>
    <mergeCell ref="N91:O91"/>
    <mergeCell ref="A92:C92"/>
    <mergeCell ref="D92:E92"/>
    <mergeCell ref="F92:H92"/>
    <mergeCell ref="K92:L92"/>
    <mergeCell ref="N92:O92"/>
    <mergeCell ref="F95:G95"/>
    <mergeCell ref="I95:J95"/>
    <mergeCell ref="F96:G96"/>
    <mergeCell ref="I96:J96"/>
    <mergeCell ref="A98:C98"/>
    <mergeCell ref="D98:E98"/>
    <mergeCell ref="F98:H98"/>
    <mergeCell ref="K98:L98"/>
    <mergeCell ref="N98:O98"/>
    <mergeCell ref="A99:C99"/>
    <mergeCell ref="D99:E99"/>
    <mergeCell ref="F99:H99"/>
    <mergeCell ref="K99:L99"/>
    <mergeCell ref="N99:O99"/>
    <mergeCell ref="F102:G102"/>
    <mergeCell ref="I102:J102"/>
    <mergeCell ref="F103:G103"/>
    <mergeCell ref="I103:J103"/>
    <mergeCell ref="A105:O105"/>
    <mergeCell ref="A106:D106"/>
    <mergeCell ref="L106:O106"/>
    <mergeCell ref="A108:C108"/>
    <mergeCell ref="E108:F108"/>
    <mergeCell ref="N108:O108"/>
    <mergeCell ref="H110:J110"/>
    <mergeCell ref="H111:J111"/>
    <mergeCell ref="H112:J112"/>
    <mergeCell ref="D114:E114"/>
    <mergeCell ref="A115:B115"/>
    <mergeCell ref="D115:E115"/>
    <mergeCell ref="D116:E116"/>
    <mergeCell ref="D117:E117"/>
    <mergeCell ref="A119:C119"/>
    <mergeCell ref="D119:E119"/>
    <mergeCell ref="F119:H119"/>
    <mergeCell ref="K119:L119"/>
    <mergeCell ref="N119:O119"/>
    <mergeCell ref="A120:C120"/>
    <mergeCell ref="D120:E120"/>
    <mergeCell ref="F120:H120"/>
    <mergeCell ref="K120:L120"/>
    <mergeCell ref="N120:O120"/>
    <mergeCell ref="F123:G123"/>
    <mergeCell ref="I123:J123"/>
    <mergeCell ref="F124:G124"/>
    <mergeCell ref="I124:J124"/>
    <mergeCell ref="A126:C126"/>
    <mergeCell ref="D126:E126"/>
    <mergeCell ref="F126:H126"/>
    <mergeCell ref="K126:L126"/>
    <mergeCell ref="N126:O126"/>
    <mergeCell ref="A127:C127"/>
    <mergeCell ref="D127:E127"/>
    <mergeCell ref="F127:H127"/>
    <mergeCell ref="K127:L127"/>
    <mergeCell ref="N127:O127"/>
    <mergeCell ref="F130:G130"/>
    <mergeCell ref="I130:J130"/>
    <mergeCell ref="F131:G131"/>
    <mergeCell ref="I131:J131"/>
    <mergeCell ref="A133:C133"/>
    <mergeCell ref="D133:E133"/>
    <mergeCell ref="F133:H133"/>
    <mergeCell ref="K133:L133"/>
    <mergeCell ref="N133:O133"/>
    <mergeCell ref="A134:C134"/>
    <mergeCell ref="D134:E134"/>
    <mergeCell ref="F134:H134"/>
    <mergeCell ref="K134:L134"/>
    <mergeCell ref="N134:O134"/>
    <mergeCell ref="F137:G137"/>
    <mergeCell ref="I137:J137"/>
    <mergeCell ref="F138:G138"/>
    <mergeCell ref="I138:J138"/>
    <mergeCell ref="A140:O140"/>
    <mergeCell ref="A141:D141"/>
    <mergeCell ref="L141:O141"/>
    <mergeCell ref="A143:C143"/>
    <mergeCell ref="E143:F143"/>
    <mergeCell ref="N143:O143"/>
    <mergeCell ref="H145:J145"/>
    <mergeCell ref="H146:J146"/>
    <mergeCell ref="H147:J147"/>
    <mergeCell ref="D149:E149"/>
    <mergeCell ref="A150:B150"/>
    <mergeCell ref="D150:E150"/>
    <mergeCell ref="D151:E151"/>
    <mergeCell ref="D152:E152"/>
    <mergeCell ref="A154:C154"/>
    <mergeCell ref="D154:E154"/>
    <mergeCell ref="F154:H154"/>
    <mergeCell ref="K154:L154"/>
    <mergeCell ref="N154:O154"/>
    <mergeCell ref="A155:C155"/>
    <mergeCell ref="D155:E155"/>
    <mergeCell ref="F155:H155"/>
    <mergeCell ref="K155:L155"/>
    <mergeCell ref="N155:O155"/>
    <mergeCell ref="F158:G158"/>
    <mergeCell ref="I158:J158"/>
    <mergeCell ref="F159:G159"/>
    <mergeCell ref="I159:J159"/>
    <mergeCell ref="A161:C161"/>
    <mergeCell ref="D161:E161"/>
    <mergeCell ref="F161:H161"/>
    <mergeCell ref="K161:L161"/>
    <mergeCell ref="N161:O161"/>
    <mergeCell ref="A162:C162"/>
    <mergeCell ref="D162:E162"/>
    <mergeCell ref="F162:H162"/>
    <mergeCell ref="K162:L162"/>
    <mergeCell ref="N162:O162"/>
    <mergeCell ref="F165:G165"/>
    <mergeCell ref="I165:J165"/>
    <mergeCell ref="F166:G166"/>
    <mergeCell ref="I166:J166"/>
    <mergeCell ref="A168:C168"/>
    <mergeCell ref="D168:E168"/>
    <mergeCell ref="F168:H168"/>
    <mergeCell ref="K168:L168"/>
    <mergeCell ref="N168:O168"/>
    <mergeCell ref="A169:C169"/>
    <mergeCell ref="D169:E169"/>
    <mergeCell ref="F169:H169"/>
    <mergeCell ref="K169:L169"/>
    <mergeCell ref="N169:O169"/>
    <mergeCell ref="F172:G172"/>
    <mergeCell ref="I172:J172"/>
    <mergeCell ref="F173:G173"/>
    <mergeCell ref="I173:J173"/>
    <mergeCell ref="A175:O175"/>
    <mergeCell ref="A176:D176"/>
    <mergeCell ref="L176:O176"/>
    <mergeCell ref="A178:C178"/>
    <mergeCell ref="E178:F178"/>
    <mergeCell ref="N178:O178"/>
    <mergeCell ref="H180:J180"/>
    <mergeCell ref="H181:J181"/>
    <mergeCell ref="H182:J182"/>
    <mergeCell ref="D184:E184"/>
    <mergeCell ref="A185:B185"/>
    <mergeCell ref="D185:E185"/>
    <mergeCell ref="D186:E186"/>
    <mergeCell ref="D187:E187"/>
    <mergeCell ref="A189:C189"/>
    <mergeCell ref="D189:E189"/>
    <mergeCell ref="F189:H189"/>
    <mergeCell ref="K189:L189"/>
    <mergeCell ref="N189:O189"/>
    <mergeCell ref="A190:C190"/>
    <mergeCell ref="D190:E190"/>
    <mergeCell ref="F190:H190"/>
    <mergeCell ref="K190:L190"/>
    <mergeCell ref="N190:O190"/>
    <mergeCell ref="F193:G193"/>
    <mergeCell ref="I193:J193"/>
    <mergeCell ref="F194:G194"/>
    <mergeCell ref="I194:J194"/>
    <mergeCell ref="A196:C196"/>
    <mergeCell ref="D196:E196"/>
    <mergeCell ref="F196:H196"/>
    <mergeCell ref="K196:L196"/>
    <mergeCell ref="N196:O196"/>
    <mergeCell ref="A197:C197"/>
    <mergeCell ref="D197:E197"/>
    <mergeCell ref="F197:H197"/>
    <mergeCell ref="K197:L197"/>
    <mergeCell ref="N197:O197"/>
    <mergeCell ref="F200:G200"/>
    <mergeCell ref="I200:J200"/>
    <mergeCell ref="F201:G201"/>
    <mergeCell ref="I201:J201"/>
    <mergeCell ref="A203:C203"/>
    <mergeCell ref="D203:E203"/>
    <mergeCell ref="F203:H203"/>
    <mergeCell ref="K203:L203"/>
    <mergeCell ref="N203:O203"/>
    <mergeCell ref="A204:C204"/>
    <mergeCell ref="D204:E204"/>
    <mergeCell ref="F204:H204"/>
    <mergeCell ref="K204:L204"/>
    <mergeCell ref="N204:O204"/>
    <mergeCell ref="F207:G207"/>
    <mergeCell ref="I207:J207"/>
    <mergeCell ref="F208:G208"/>
    <mergeCell ref="I208:J208"/>
    <mergeCell ref="A210:O210"/>
    <mergeCell ref="A211:D211"/>
    <mergeCell ref="L211:O211"/>
    <mergeCell ref="A213:C213"/>
    <mergeCell ref="E213:F213"/>
    <mergeCell ref="N213:O213"/>
    <mergeCell ref="H215:J215"/>
    <mergeCell ref="H216:J216"/>
    <mergeCell ref="H217:J217"/>
    <mergeCell ref="D219:E219"/>
    <mergeCell ref="A220:B220"/>
    <mergeCell ref="D220:E220"/>
    <mergeCell ref="D221:E221"/>
    <mergeCell ref="D222:E222"/>
    <mergeCell ref="A224:C224"/>
    <mergeCell ref="D224:E224"/>
    <mergeCell ref="F224:H224"/>
    <mergeCell ref="K224:L224"/>
    <mergeCell ref="N224:O224"/>
    <mergeCell ref="A225:C225"/>
    <mergeCell ref="D225:E225"/>
    <mergeCell ref="F225:H225"/>
    <mergeCell ref="K225:L225"/>
    <mergeCell ref="N225:O225"/>
    <mergeCell ref="F228:G228"/>
    <mergeCell ref="I228:J228"/>
    <mergeCell ref="F229:G229"/>
    <mergeCell ref="I229:J229"/>
    <mergeCell ref="A231:C231"/>
    <mergeCell ref="D231:E231"/>
    <mergeCell ref="F231:H231"/>
    <mergeCell ref="K231:L231"/>
    <mergeCell ref="N231:O231"/>
    <mergeCell ref="A232:C232"/>
    <mergeCell ref="D232:E232"/>
    <mergeCell ref="F232:H232"/>
    <mergeCell ref="K232:L232"/>
    <mergeCell ref="N232:O232"/>
    <mergeCell ref="F235:G235"/>
    <mergeCell ref="I235:J235"/>
    <mergeCell ref="F236:G236"/>
    <mergeCell ref="I236:J236"/>
    <mergeCell ref="A238:C238"/>
    <mergeCell ref="D238:E238"/>
    <mergeCell ref="F238:H238"/>
    <mergeCell ref="K238:L238"/>
    <mergeCell ref="N238:O238"/>
    <mergeCell ref="A239:C239"/>
    <mergeCell ref="D239:E239"/>
    <mergeCell ref="F239:H239"/>
    <mergeCell ref="K239:L239"/>
    <mergeCell ref="N239:O239"/>
    <mergeCell ref="F242:G242"/>
    <mergeCell ref="I242:J242"/>
    <mergeCell ref="F243:G243"/>
    <mergeCell ref="I243:J243"/>
    <mergeCell ref="A245:O245"/>
    <mergeCell ref="A246:D246"/>
    <mergeCell ref="L246:O246"/>
    <mergeCell ref="A248:C248"/>
    <mergeCell ref="E248:F248"/>
    <mergeCell ref="N248:O248"/>
    <mergeCell ref="H250:J250"/>
    <mergeCell ref="H251:J251"/>
    <mergeCell ref="H252:J252"/>
    <mergeCell ref="D254:E254"/>
    <mergeCell ref="A255:B255"/>
    <mergeCell ref="D255:E255"/>
    <mergeCell ref="D256:E256"/>
    <mergeCell ref="D257:E257"/>
    <mergeCell ref="A259:C259"/>
    <mergeCell ref="D259:E259"/>
    <mergeCell ref="F259:H259"/>
    <mergeCell ref="K259:L259"/>
    <mergeCell ref="N259:O259"/>
    <mergeCell ref="A260:C260"/>
    <mergeCell ref="D260:E260"/>
    <mergeCell ref="F260:H260"/>
    <mergeCell ref="K260:L260"/>
    <mergeCell ref="N260:O260"/>
    <mergeCell ref="F263:G263"/>
    <mergeCell ref="I263:J263"/>
    <mergeCell ref="F264:G264"/>
    <mergeCell ref="I264:J264"/>
    <mergeCell ref="A266:C266"/>
    <mergeCell ref="D266:E266"/>
    <mergeCell ref="F266:H266"/>
    <mergeCell ref="K266:L266"/>
    <mergeCell ref="N266:O266"/>
    <mergeCell ref="A267:C267"/>
    <mergeCell ref="D267:E267"/>
    <mergeCell ref="F267:H267"/>
    <mergeCell ref="K267:L267"/>
    <mergeCell ref="N267:O267"/>
    <mergeCell ref="F270:G270"/>
    <mergeCell ref="I270:J270"/>
    <mergeCell ref="F271:G271"/>
    <mergeCell ref="I271:J271"/>
    <mergeCell ref="A273:C273"/>
    <mergeCell ref="D273:E273"/>
    <mergeCell ref="F273:H273"/>
    <mergeCell ref="K273:L273"/>
    <mergeCell ref="N273:O273"/>
    <mergeCell ref="A274:C274"/>
    <mergeCell ref="D274:E274"/>
    <mergeCell ref="F274:H274"/>
    <mergeCell ref="K274:L274"/>
    <mergeCell ref="N274:O274"/>
    <mergeCell ref="F277:G277"/>
    <mergeCell ref="I277:J277"/>
    <mergeCell ref="F278:G278"/>
    <mergeCell ref="I278:J278"/>
    <mergeCell ref="A280:O280"/>
    <mergeCell ref="A281:D281"/>
    <mergeCell ref="L281:O281"/>
    <mergeCell ref="A283:C283"/>
    <mergeCell ref="E283:F283"/>
    <mergeCell ref="N283:O283"/>
    <mergeCell ref="H285:J285"/>
    <mergeCell ref="H286:J286"/>
    <mergeCell ref="H287:J287"/>
    <mergeCell ref="D289:E289"/>
    <mergeCell ref="A290:B290"/>
    <mergeCell ref="D290:E290"/>
    <mergeCell ref="D291:E291"/>
    <mergeCell ref="D292:E292"/>
    <mergeCell ref="A294:C294"/>
    <mergeCell ref="D294:E294"/>
    <mergeCell ref="F294:H294"/>
    <mergeCell ref="K294:L294"/>
    <mergeCell ref="N294:O294"/>
    <mergeCell ref="A295:C295"/>
    <mergeCell ref="D295:E295"/>
    <mergeCell ref="F295:H295"/>
    <mergeCell ref="K295:L295"/>
    <mergeCell ref="N295:O295"/>
    <mergeCell ref="F298:G298"/>
    <mergeCell ref="I298:J298"/>
    <mergeCell ref="F299:G299"/>
    <mergeCell ref="I299:J299"/>
    <mergeCell ref="A301:C301"/>
    <mergeCell ref="D301:E301"/>
    <mergeCell ref="F301:H301"/>
    <mergeCell ref="K301:L301"/>
    <mergeCell ref="N301:O301"/>
    <mergeCell ref="A302:C302"/>
    <mergeCell ref="D302:E302"/>
    <mergeCell ref="F302:H302"/>
    <mergeCell ref="K302:L302"/>
    <mergeCell ref="N302:O302"/>
    <mergeCell ref="F305:G305"/>
    <mergeCell ref="I305:J305"/>
    <mergeCell ref="F306:G306"/>
    <mergeCell ref="I306:J306"/>
    <mergeCell ref="A308:C308"/>
    <mergeCell ref="D308:E308"/>
    <mergeCell ref="F308:H308"/>
    <mergeCell ref="K308:L308"/>
    <mergeCell ref="N308:O308"/>
    <mergeCell ref="A309:C309"/>
    <mergeCell ref="D309:E309"/>
    <mergeCell ref="F309:H309"/>
    <mergeCell ref="K309:L309"/>
    <mergeCell ref="N309:O309"/>
    <mergeCell ref="F312:G312"/>
    <mergeCell ref="I312:J312"/>
    <mergeCell ref="F313:G313"/>
    <mergeCell ref="I313:J313"/>
    <mergeCell ref="A315:O315"/>
    <mergeCell ref="A18:A19"/>
    <mergeCell ref="A25:A26"/>
    <mergeCell ref="A32:A33"/>
    <mergeCell ref="A53:A54"/>
    <mergeCell ref="A60:A61"/>
    <mergeCell ref="A67:A68"/>
    <mergeCell ref="A88:A89"/>
    <mergeCell ref="A95:A96"/>
    <mergeCell ref="A102:A103"/>
    <mergeCell ref="A123:A124"/>
    <mergeCell ref="A130:A131"/>
    <mergeCell ref="A137:A138"/>
    <mergeCell ref="A158:A159"/>
    <mergeCell ref="A165:A166"/>
    <mergeCell ref="A172:A173"/>
    <mergeCell ref="A193:A194"/>
    <mergeCell ref="A200:A201"/>
    <mergeCell ref="A207:A208"/>
    <mergeCell ref="A228:A229"/>
    <mergeCell ref="A235:A236"/>
    <mergeCell ref="A242:A243"/>
    <mergeCell ref="A263:A264"/>
    <mergeCell ref="A270:A271"/>
    <mergeCell ref="A277:A278"/>
    <mergeCell ref="A298:A299"/>
    <mergeCell ref="A305:A306"/>
    <mergeCell ref="A312:A313"/>
    <mergeCell ref="B18:B19"/>
    <mergeCell ref="B25:B26"/>
    <mergeCell ref="B32:B33"/>
    <mergeCell ref="B53:B54"/>
    <mergeCell ref="B60:B61"/>
    <mergeCell ref="B67:B68"/>
    <mergeCell ref="B88:B89"/>
    <mergeCell ref="B95:B96"/>
    <mergeCell ref="B102:B103"/>
    <mergeCell ref="B123:B124"/>
    <mergeCell ref="B130:B131"/>
    <mergeCell ref="B137:B138"/>
    <mergeCell ref="B158:B159"/>
    <mergeCell ref="B165:B166"/>
    <mergeCell ref="B172:B173"/>
    <mergeCell ref="B193:B194"/>
    <mergeCell ref="B200:B201"/>
    <mergeCell ref="B207:B208"/>
    <mergeCell ref="B228:B229"/>
    <mergeCell ref="B235:B236"/>
    <mergeCell ref="B242:B243"/>
    <mergeCell ref="B263:B264"/>
    <mergeCell ref="B270:B271"/>
    <mergeCell ref="B277:B278"/>
    <mergeCell ref="B298:B299"/>
    <mergeCell ref="B305:B306"/>
    <mergeCell ref="B312:B313"/>
    <mergeCell ref="C18:C19"/>
    <mergeCell ref="C25:C26"/>
    <mergeCell ref="C32:C33"/>
    <mergeCell ref="C53:C54"/>
    <mergeCell ref="C60:C61"/>
    <mergeCell ref="C67:C68"/>
    <mergeCell ref="C88:C89"/>
    <mergeCell ref="C95:C96"/>
    <mergeCell ref="C102:C103"/>
    <mergeCell ref="C123:C124"/>
    <mergeCell ref="C130:C131"/>
    <mergeCell ref="C137:C138"/>
    <mergeCell ref="C158:C159"/>
    <mergeCell ref="C165:C166"/>
    <mergeCell ref="C172:C173"/>
    <mergeCell ref="C193:C194"/>
    <mergeCell ref="C200:C201"/>
    <mergeCell ref="C207:C208"/>
    <mergeCell ref="C228:C229"/>
    <mergeCell ref="C235:C236"/>
    <mergeCell ref="C242:C243"/>
    <mergeCell ref="C263:C264"/>
    <mergeCell ref="C270:C271"/>
    <mergeCell ref="C277:C278"/>
    <mergeCell ref="C298:C299"/>
    <mergeCell ref="C305:C306"/>
    <mergeCell ref="C312:C313"/>
    <mergeCell ref="D18:D19"/>
    <mergeCell ref="D25:D26"/>
    <mergeCell ref="D32:D33"/>
    <mergeCell ref="D53:D54"/>
    <mergeCell ref="D60:D61"/>
    <mergeCell ref="D67:D68"/>
    <mergeCell ref="D88:D89"/>
    <mergeCell ref="D95:D96"/>
    <mergeCell ref="D102:D103"/>
    <mergeCell ref="D123:D124"/>
    <mergeCell ref="D130:D131"/>
    <mergeCell ref="D137:D138"/>
    <mergeCell ref="D158:D159"/>
    <mergeCell ref="D165:D166"/>
    <mergeCell ref="D172:D173"/>
    <mergeCell ref="D193:D194"/>
    <mergeCell ref="D200:D201"/>
    <mergeCell ref="D207:D208"/>
    <mergeCell ref="D228:D229"/>
    <mergeCell ref="D235:D236"/>
    <mergeCell ref="D242:D243"/>
    <mergeCell ref="D263:D264"/>
    <mergeCell ref="D270:D271"/>
    <mergeCell ref="D277:D278"/>
    <mergeCell ref="D298:D299"/>
    <mergeCell ref="D305:D306"/>
    <mergeCell ref="D312:D313"/>
    <mergeCell ref="E18:E19"/>
    <mergeCell ref="E25:E26"/>
    <mergeCell ref="E32:E33"/>
    <mergeCell ref="E53:E54"/>
    <mergeCell ref="E60:E61"/>
    <mergeCell ref="E67:E68"/>
    <mergeCell ref="E88:E89"/>
    <mergeCell ref="E95:E96"/>
    <mergeCell ref="E102:E103"/>
    <mergeCell ref="E123:E124"/>
    <mergeCell ref="E130:E131"/>
    <mergeCell ref="E137:E138"/>
    <mergeCell ref="E158:E159"/>
    <mergeCell ref="E165:E166"/>
    <mergeCell ref="E172:E173"/>
    <mergeCell ref="E193:E194"/>
    <mergeCell ref="E200:E201"/>
    <mergeCell ref="E207:E208"/>
    <mergeCell ref="E228:E229"/>
    <mergeCell ref="E235:E236"/>
    <mergeCell ref="E242:E243"/>
    <mergeCell ref="E263:E264"/>
    <mergeCell ref="E270:E271"/>
    <mergeCell ref="E277:E278"/>
    <mergeCell ref="E298:E299"/>
    <mergeCell ref="E305:E306"/>
    <mergeCell ref="E312:E313"/>
  </mergeCells>
  <pageMargins left="0.5" right="0.35" top="0.75" bottom="0.75" header="0.3" footer="0.3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6"/>
  <sheetViews>
    <sheetView workbookViewId="0">
      <selection activeCell="R250" sqref="R250"/>
    </sheetView>
  </sheetViews>
  <sheetFormatPr defaultColWidth="8.88888888888889" defaultRowHeight="13.8"/>
  <cols>
    <col min="1" max="1" width="21.5555555555556" style="26" customWidth="1"/>
    <col min="2" max="11" width="6.66666666666667" style="26" customWidth="1"/>
    <col min="12" max="12" width="9.44444444444444" style="26" customWidth="1"/>
    <col min="13" max="13" width="9.77777777777778" style="26" customWidth="1"/>
    <col min="14" max="16384" width="8.88888888888889" style="26"/>
  </cols>
  <sheetData>
    <row r="1" ht="25.2" customHeight="1" spans="1:13">
      <c r="A1" s="27" t="s">
        <v>16</v>
      </c>
      <c r="B1" s="28"/>
      <c r="C1" s="28"/>
      <c r="D1" s="28"/>
      <c r="E1" s="29"/>
      <c r="F1" s="29"/>
      <c r="G1" s="29"/>
      <c r="H1" s="30" t="s">
        <v>51</v>
      </c>
      <c r="I1" s="30"/>
      <c r="J1" s="30"/>
      <c r="K1" s="31"/>
    </row>
    <row r="2" ht="19.8" customHeight="1" spans="1:13">
      <c r="A2" s="32">
        <f>List!F2</f>
        <v>0</v>
      </c>
      <c r="B2" s="33"/>
      <c r="C2" s="34"/>
      <c r="D2" s="33">
        <f>List!E2</f>
        <v>0</v>
      </c>
      <c r="E2" s="33"/>
      <c r="F2" s="35"/>
      <c r="G2" s="36"/>
      <c r="H2" s="36"/>
      <c r="I2" s="35"/>
      <c r="J2" s="37"/>
      <c r="K2" s="38"/>
    </row>
    <row r="3" ht="15" customHeight="1" spans="1:13">
      <c r="A3" s="39" t="s">
        <v>5</v>
      </c>
      <c r="B3" s="35"/>
      <c r="C3" s="35"/>
      <c r="D3" s="40" t="s">
        <v>4</v>
      </c>
      <c r="E3" s="35"/>
      <c r="F3" s="35"/>
      <c r="G3" s="35" t="s">
        <v>24</v>
      </c>
      <c r="H3" s="35"/>
      <c r="I3" s="35"/>
      <c r="J3" s="35" t="s">
        <v>52</v>
      </c>
      <c r="K3" s="41"/>
    </row>
    <row r="4" ht="16.2" customHeight="1" spans="1:13">
      <c r="A4" s="39"/>
      <c r="B4" s="35"/>
      <c r="C4" s="35"/>
      <c r="D4" s="35"/>
      <c r="E4" s="35"/>
      <c r="F4" s="35"/>
      <c r="G4" s="35"/>
      <c r="H4" s="42"/>
      <c r="I4" s="42"/>
      <c r="J4" s="42"/>
      <c r="K4" s="41"/>
      <c r="M4" s="43"/>
    </row>
    <row r="5" ht="27" customHeight="1" spans="1:13">
      <c r="A5" s="44" t="s">
        <v>32</v>
      </c>
      <c r="B5" s="45"/>
      <c r="C5" s="46" t="s">
        <v>33</v>
      </c>
      <c r="D5" s="45"/>
      <c r="E5" s="46" t="s">
        <v>34</v>
      </c>
      <c r="F5" s="47"/>
      <c r="G5" s="45"/>
      <c r="H5" s="48" t="s">
        <v>35</v>
      </c>
      <c r="I5" s="49" t="s">
        <v>53</v>
      </c>
      <c r="J5" s="46" t="s">
        <v>37</v>
      </c>
      <c r="K5" s="50"/>
    </row>
    <row r="6" s="24" customFormat="1" ht="15" customHeight="1" spans="1:13">
      <c r="A6" s="51" t="str">
        <f>List!H2</f>
        <v/>
      </c>
      <c r="B6" s="52"/>
      <c r="C6" s="53">
        <v>600000</v>
      </c>
      <c r="D6" s="52"/>
      <c r="E6" s="53" t="str">
        <f>List!J2</f>
        <v>FRESH  GINGER</v>
      </c>
      <c r="F6" s="54"/>
      <c r="G6" s="52"/>
      <c r="H6" s="55" t="s">
        <v>54</v>
      </c>
      <c r="I6" s="55" t="s">
        <v>41</v>
      </c>
      <c r="J6" s="56" t="str">
        <f>List!K2</f>
        <v>Santao</v>
      </c>
      <c r="K6" s="57"/>
    </row>
    <row r="7" ht="20.4" customHeight="1" spans="1:13">
      <c r="A7" s="58" t="s">
        <v>55</v>
      </c>
      <c r="B7" s="59">
        <v>1</v>
      </c>
      <c r="C7" s="59">
        <v>2</v>
      </c>
      <c r="D7" s="59">
        <v>3</v>
      </c>
      <c r="E7" s="59">
        <v>4</v>
      </c>
      <c r="F7" s="59">
        <v>5</v>
      </c>
      <c r="G7" s="59">
        <v>6</v>
      </c>
      <c r="H7" s="59">
        <v>7</v>
      </c>
      <c r="I7" s="59">
        <v>8</v>
      </c>
      <c r="J7" s="59">
        <v>9</v>
      </c>
      <c r="K7" s="60">
        <v>10</v>
      </c>
    </row>
    <row r="8" ht="20.4" customHeight="1" spans="1:13">
      <c r="A8" s="61" t="s">
        <v>56</v>
      </c>
      <c r="B8" s="62"/>
      <c r="C8" s="62"/>
      <c r="D8" s="62"/>
      <c r="E8" s="62"/>
      <c r="F8" s="62"/>
      <c r="G8" s="62"/>
      <c r="H8" s="62"/>
      <c r="I8" s="62"/>
      <c r="J8" s="62"/>
      <c r="K8" s="63"/>
    </row>
    <row r="9" ht="20.4" customHeight="1" spans="1:13">
      <c r="A9" s="61" t="s">
        <v>57</v>
      </c>
      <c r="B9" s="62"/>
      <c r="C9" s="62"/>
      <c r="D9" s="62"/>
      <c r="E9" s="62"/>
      <c r="F9" s="62"/>
      <c r="G9" s="62"/>
      <c r="H9" s="62"/>
      <c r="I9" s="62"/>
      <c r="J9" s="62"/>
      <c r="K9" s="63"/>
    </row>
    <row r="10" ht="4.2" customHeight="1" spans="1:13">
      <c r="A10" s="64"/>
      <c r="B10" s="35"/>
      <c r="C10" s="35"/>
      <c r="D10" s="35"/>
      <c r="E10" s="35"/>
      <c r="F10" s="35"/>
      <c r="G10" s="35"/>
      <c r="H10" s="35"/>
      <c r="I10" s="35"/>
      <c r="J10" s="35"/>
      <c r="K10" s="65"/>
    </row>
    <row r="11" s="25" customFormat="1" ht="27" customHeight="1" spans="1:13">
      <c r="A11" s="66" t="s">
        <v>58</v>
      </c>
      <c r="B11" s="59">
        <v>1</v>
      </c>
      <c r="C11" s="59">
        <v>2</v>
      </c>
      <c r="D11" s="59">
        <v>3</v>
      </c>
      <c r="E11" s="59">
        <v>4</v>
      </c>
      <c r="F11" s="59">
        <v>5</v>
      </c>
      <c r="G11" s="59">
        <v>6</v>
      </c>
      <c r="H11" s="59">
        <v>7</v>
      </c>
      <c r="I11" s="59">
        <v>8</v>
      </c>
      <c r="J11" s="59">
        <v>9</v>
      </c>
      <c r="K11" s="60">
        <v>10</v>
      </c>
    </row>
    <row r="12" s="25" customFormat="1" ht="18" customHeight="1" spans="1:13">
      <c r="A12" s="67" t="s">
        <v>59</v>
      </c>
      <c r="B12" s="59"/>
      <c r="C12" s="59"/>
      <c r="D12" s="59"/>
      <c r="E12" s="59"/>
      <c r="F12" s="59"/>
      <c r="G12" s="59"/>
      <c r="H12" s="59"/>
      <c r="I12" s="59"/>
      <c r="J12" s="59"/>
      <c r="K12" s="60"/>
    </row>
    <row r="13" ht="18" customHeight="1" spans="1:13">
      <c r="A13" s="61" t="s">
        <v>60</v>
      </c>
      <c r="B13" s="62"/>
      <c r="C13" s="62"/>
      <c r="D13" s="62"/>
      <c r="E13" s="62"/>
      <c r="F13" s="62"/>
      <c r="G13" s="62"/>
      <c r="H13" s="62"/>
      <c r="I13" s="62"/>
      <c r="J13" s="62"/>
      <c r="K13" s="63"/>
    </row>
    <row r="14" ht="18" customHeight="1" spans="1:13">
      <c r="A14" s="64" t="s">
        <v>61</v>
      </c>
      <c r="B14" s="62"/>
      <c r="C14" s="62"/>
      <c r="D14" s="62"/>
      <c r="E14" s="62"/>
      <c r="F14" s="62"/>
      <c r="G14" s="62"/>
      <c r="H14" s="62"/>
      <c r="I14" s="62"/>
      <c r="J14" s="62"/>
      <c r="K14" s="63"/>
    </row>
    <row r="15" ht="18" customHeight="1" spans="1:13">
      <c r="A15" s="64" t="s">
        <v>62</v>
      </c>
      <c r="B15" s="62"/>
      <c r="C15" s="62"/>
      <c r="D15" s="62"/>
      <c r="E15" s="62"/>
      <c r="F15" s="62"/>
      <c r="G15" s="62"/>
      <c r="H15" s="62"/>
      <c r="I15" s="62"/>
      <c r="J15" s="62"/>
      <c r="K15" s="63"/>
    </row>
    <row r="16" ht="18" customHeight="1" spans="1:13">
      <c r="A16" s="61" t="s">
        <v>63</v>
      </c>
      <c r="B16" s="62"/>
      <c r="C16" s="62"/>
      <c r="D16" s="62"/>
      <c r="E16" s="62"/>
      <c r="F16" s="62"/>
      <c r="G16" s="62"/>
      <c r="H16" s="62"/>
      <c r="I16" s="62"/>
      <c r="J16" s="62"/>
      <c r="K16" s="63"/>
    </row>
    <row r="17" ht="18" customHeight="1" spans="1:11">
      <c r="A17" s="61" t="s">
        <v>64</v>
      </c>
      <c r="B17" s="62"/>
      <c r="C17" s="62"/>
      <c r="D17" s="62"/>
      <c r="E17" s="62"/>
      <c r="F17" s="62"/>
      <c r="G17" s="62"/>
      <c r="H17" s="62"/>
      <c r="I17" s="62"/>
      <c r="J17" s="62"/>
      <c r="K17" s="63"/>
    </row>
    <row r="18" ht="18" customHeight="1" spans="1:11">
      <c r="A18" s="61" t="s">
        <v>65</v>
      </c>
      <c r="B18" s="62"/>
      <c r="C18" s="62"/>
      <c r="D18" s="62"/>
      <c r="E18" s="62"/>
      <c r="F18" s="62"/>
      <c r="G18" s="62"/>
      <c r="H18" s="62"/>
      <c r="I18" s="62"/>
      <c r="J18" s="62"/>
      <c r="K18" s="63"/>
    </row>
    <row r="19" ht="18" customHeight="1" spans="1:11">
      <c r="A19" s="68" t="s">
        <v>66</v>
      </c>
      <c r="B19" s="62"/>
      <c r="C19" s="62"/>
      <c r="D19" s="62"/>
      <c r="E19" s="62"/>
      <c r="F19" s="62"/>
      <c r="G19" s="62"/>
      <c r="H19" s="62"/>
      <c r="I19" s="62"/>
      <c r="J19" s="62"/>
      <c r="K19" s="63"/>
    </row>
    <row r="20" ht="27.6" customHeight="1" spans="1:11">
      <c r="A20" s="44" t="s">
        <v>32</v>
      </c>
      <c r="B20" s="45"/>
      <c r="C20" s="46" t="s">
        <v>33</v>
      </c>
      <c r="D20" s="45"/>
      <c r="E20" s="46" t="s">
        <v>34</v>
      </c>
      <c r="F20" s="47"/>
      <c r="G20" s="45"/>
      <c r="H20" s="69" t="s">
        <v>35</v>
      </c>
      <c r="I20" s="49" t="s">
        <v>53</v>
      </c>
      <c r="J20" s="46" t="s">
        <v>37</v>
      </c>
      <c r="K20" s="50"/>
    </row>
    <row r="21" s="24" customFormat="1" ht="6.6" customHeight="1" spans="1:11">
      <c r="A21" s="51"/>
      <c r="B21" s="52"/>
      <c r="C21" s="53"/>
      <c r="D21" s="52"/>
      <c r="E21" s="53"/>
      <c r="F21" s="54"/>
      <c r="G21" s="52"/>
      <c r="H21" s="55"/>
      <c r="I21" s="55"/>
      <c r="J21" s="53"/>
      <c r="K21" s="70"/>
    </row>
    <row r="22" ht="20.4" customHeight="1" spans="1:11">
      <c r="A22" s="58" t="s">
        <v>55</v>
      </c>
      <c r="B22" s="59">
        <v>1</v>
      </c>
      <c r="C22" s="59">
        <v>2</v>
      </c>
      <c r="D22" s="59">
        <v>3</v>
      </c>
      <c r="E22" s="59">
        <v>4</v>
      </c>
      <c r="F22" s="59">
        <v>5</v>
      </c>
      <c r="G22" s="59">
        <v>6</v>
      </c>
      <c r="H22" s="59">
        <v>7</v>
      </c>
      <c r="I22" s="59">
        <v>8</v>
      </c>
      <c r="J22" s="59">
        <v>9</v>
      </c>
      <c r="K22" s="60">
        <v>10</v>
      </c>
    </row>
    <row r="23" ht="20.4" customHeight="1" spans="1:11">
      <c r="A23" s="61" t="s">
        <v>56</v>
      </c>
      <c r="B23" s="62"/>
      <c r="C23" s="62"/>
      <c r="D23" s="62"/>
      <c r="E23" s="62"/>
      <c r="F23" s="62"/>
      <c r="G23" s="62"/>
      <c r="H23" s="62"/>
      <c r="I23" s="62"/>
      <c r="J23" s="62"/>
      <c r="K23" s="63"/>
    </row>
    <row r="24" ht="20.4" customHeight="1" spans="1:11">
      <c r="A24" s="61" t="s">
        <v>57</v>
      </c>
      <c r="B24" s="62"/>
      <c r="C24" s="62"/>
      <c r="D24" s="62"/>
      <c r="E24" s="62"/>
      <c r="F24" s="62"/>
      <c r="G24" s="62"/>
      <c r="H24" s="62"/>
      <c r="I24" s="62"/>
      <c r="J24" s="62"/>
      <c r="K24" s="63"/>
    </row>
    <row r="25" ht="5.4" customHeight="1" spans="1:11">
      <c r="A25" s="64"/>
      <c r="B25" s="35"/>
      <c r="C25" s="35"/>
      <c r="D25" s="35"/>
      <c r="E25" s="35"/>
      <c r="F25" s="35"/>
      <c r="G25" s="35"/>
      <c r="H25" s="35"/>
      <c r="I25" s="35"/>
      <c r="J25" s="35"/>
      <c r="K25" s="65"/>
    </row>
    <row r="26" s="25" customFormat="1" ht="28.2" customHeight="1" spans="1:11">
      <c r="A26" s="66" t="s">
        <v>58</v>
      </c>
      <c r="B26" s="59">
        <v>1</v>
      </c>
      <c r="C26" s="59">
        <v>2</v>
      </c>
      <c r="D26" s="59">
        <v>3</v>
      </c>
      <c r="E26" s="59">
        <v>4</v>
      </c>
      <c r="F26" s="59">
        <v>5</v>
      </c>
      <c r="G26" s="59">
        <v>6</v>
      </c>
      <c r="H26" s="59">
        <v>7</v>
      </c>
      <c r="I26" s="59">
        <v>8</v>
      </c>
      <c r="J26" s="59">
        <v>9</v>
      </c>
      <c r="K26" s="60">
        <v>10</v>
      </c>
    </row>
    <row r="27" s="25" customFormat="1" ht="24" customHeight="1" spans="1:11">
      <c r="A27" s="67" t="s">
        <v>59</v>
      </c>
      <c r="B27" s="59"/>
      <c r="C27" s="59"/>
      <c r="D27" s="59"/>
      <c r="E27" s="59"/>
      <c r="F27" s="59"/>
      <c r="G27" s="59"/>
      <c r="H27" s="59"/>
      <c r="I27" s="59"/>
      <c r="J27" s="59"/>
      <c r="K27" s="60"/>
    </row>
    <row r="28" ht="24" customHeight="1" spans="1:11">
      <c r="A28" s="61" t="s">
        <v>60</v>
      </c>
      <c r="B28" s="62"/>
      <c r="C28" s="62"/>
      <c r="D28" s="62"/>
      <c r="E28" s="62"/>
      <c r="F28" s="62"/>
      <c r="G28" s="62"/>
      <c r="H28" s="62"/>
      <c r="I28" s="62"/>
      <c r="J28" s="62"/>
      <c r="K28" s="63"/>
    </row>
    <row r="29" ht="24" customHeight="1" spans="1:11">
      <c r="A29" s="64" t="s">
        <v>61</v>
      </c>
      <c r="B29" s="62"/>
      <c r="C29" s="62"/>
      <c r="D29" s="62"/>
      <c r="E29" s="62"/>
      <c r="F29" s="62"/>
      <c r="G29" s="62"/>
      <c r="H29" s="62"/>
      <c r="I29" s="62"/>
      <c r="J29" s="62"/>
      <c r="K29" s="63"/>
    </row>
    <row r="30" ht="24" customHeight="1" spans="1:11">
      <c r="A30" s="64" t="s">
        <v>62</v>
      </c>
      <c r="B30" s="62"/>
      <c r="C30" s="62"/>
      <c r="D30" s="62"/>
      <c r="E30" s="62"/>
      <c r="F30" s="62"/>
      <c r="G30" s="62"/>
      <c r="H30" s="62"/>
      <c r="I30" s="62"/>
      <c r="J30" s="62"/>
      <c r="K30" s="63"/>
    </row>
    <row r="31" ht="24" customHeight="1" spans="1:11">
      <c r="A31" s="61" t="s">
        <v>63</v>
      </c>
      <c r="B31" s="62"/>
      <c r="C31" s="62"/>
      <c r="D31" s="62"/>
      <c r="E31" s="62"/>
      <c r="F31" s="62"/>
      <c r="G31" s="62"/>
      <c r="H31" s="62"/>
      <c r="I31" s="62"/>
      <c r="J31" s="62"/>
      <c r="K31" s="63"/>
    </row>
    <row r="32" ht="24" customHeight="1" spans="1:11">
      <c r="A32" s="61" t="s">
        <v>64</v>
      </c>
      <c r="B32" s="62"/>
      <c r="C32" s="62"/>
      <c r="D32" s="62"/>
      <c r="E32" s="62"/>
      <c r="F32" s="62"/>
      <c r="G32" s="62"/>
      <c r="H32" s="62"/>
      <c r="I32" s="62"/>
      <c r="J32" s="62"/>
      <c r="K32" s="63"/>
    </row>
    <row r="33" ht="24" customHeight="1" spans="1:13">
      <c r="A33" s="61" t="s">
        <v>65</v>
      </c>
      <c r="B33" s="62"/>
      <c r="C33" s="62"/>
      <c r="D33" s="62"/>
      <c r="E33" s="62"/>
      <c r="F33" s="62"/>
      <c r="G33" s="62"/>
      <c r="H33" s="62"/>
      <c r="I33" s="62"/>
      <c r="J33" s="62"/>
      <c r="K33" s="63"/>
    </row>
    <row r="34" ht="24" customHeight="1" spans="1:13">
      <c r="A34" s="71" t="s">
        <v>66</v>
      </c>
      <c r="B34" s="72"/>
      <c r="C34" s="72"/>
      <c r="D34" s="72"/>
      <c r="E34" s="72"/>
      <c r="F34" s="72"/>
      <c r="G34" s="72"/>
      <c r="H34" s="72"/>
      <c r="I34" s="72"/>
      <c r="J34" s="72"/>
      <c r="K34" s="73"/>
    </row>
    <row r="35" ht="20.4" customHeight="1" spans="1:13">
      <c r="A35" s="27" t="s">
        <v>16</v>
      </c>
      <c r="B35" s="28"/>
      <c r="C35" s="28"/>
      <c r="D35" s="28"/>
      <c r="E35" s="29"/>
      <c r="F35" s="29"/>
      <c r="G35" s="29"/>
      <c r="H35" s="30" t="s">
        <v>51</v>
      </c>
      <c r="I35" s="30"/>
      <c r="J35" s="30"/>
      <c r="K35" s="31"/>
    </row>
    <row r="36" spans="1:13">
      <c r="A36" s="32">
        <f>List!F3</f>
        <v>0</v>
      </c>
      <c r="B36" s="33"/>
      <c r="C36" s="34"/>
      <c r="D36" s="33">
        <f>List!E3</f>
        <v>0</v>
      </c>
      <c r="E36" s="33"/>
      <c r="F36" s="35"/>
      <c r="G36" s="36"/>
      <c r="H36" s="36"/>
      <c r="I36" s="35"/>
      <c r="J36" s="37"/>
      <c r="K36" s="38"/>
    </row>
    <row r="37" ht="19.8" customHeight="1" spans="1:13">
      <c r="A37" s="39" t="s">
        <v>5</v>
      </c>
      <c r="B37" s="35"/>
      <c r="C37" s="35"/>
      <c r="D37" s="40" t="s">
        <v>4</v>
      </c>
      <c r="E37" s="35"/>
      <c r="F37" s="35"/>
      <c r="G37" s="35" t="s">
        <v>24</v>
      </c>
      <c r="H37" s="35"/>
      <c r="I37" s="35"/>
      <c r="J37" s="35" t="s">
        <v>52</v>
      </c>
      <c r="K37" s="41"/>
    </row>
    <row r="38" ht="18" customHeight="1" spans="1:13">
      <c r="A38" s="39"/>
      <c r="B38" s="35"/>
      <c r="C38" s="35"/>
      <c r="D38" s="35"/>
      <c r="E38" s="35"/>
      <c r="F38" s="35"/>
      <c r="G38" s="35"/>
      <c r="H38" s="42"/>
      <c r="I38" s="42"/>
      <c r="J38" s="42"/>
      <c r="K38" s="41"/>
    </row>
    <row r="39" ht="16.2" customHeight="1" spans="1:13">
      <c r="A39" s="44" t="s">
        <v>32</v>
      </c>
      <c r="B39" s="45"/>
      <c r="C39" s="46" t="s">
        <v>33</v>
      </c>
      <c r="D39" s="45"/>
      <c r="E39" s="46" t="s">
        <v>34</v>
      </c>
      <c r="F39" s="47"/>
      <c r="G39" s="45"/>
      <c r="H39" s="48" t="s">
        <v>35</v>
      </c>
      <c r="I39" s="49" t="s">
        <v>53</v>
      </c>
      <c r="J39" s="46" t="s">
        <v>37</v>
      </c>
      <c r="K39" s="50"/>
      <c r="M39" s="43"/>
    </row>
    <row r="40" ht="16" customHeight="1" spans="1:13">
      <c r="A40" s="51" t="str">
        <f>List!H3</f>
        <v/>
      </c>
      <c r="B40" s="52"/>
      <c r="C40" s="53">
        <v>600000</v>
      </c>
      <c r="D40" s="52"/>
      <c r="E40" s="53" t="str">
        <f>List!J3</f>
        <v>FRESH  GINGER</v>
      </c>
      <c r="F40" s="54"/>
      <c r="G40" s="52"/>
      <c r="H40" s="55" t="s">
        <v>54</v>
      </c>
      <c r="I40" s="55" t="s">
        <v>41</v>
      </c>
      <c r="J40" s="56" t="str">
        <f>List!K3</f>
        <v>Santao</v>
      </c>
      <c r="K40" s="57"/>
    </row>
    <row r="41" s="24" customFormat="1" ht="24.6" customHeight="1" spans="1:13">
      <c r="A41" s="58" t="s">
        <v>55</v>
      </c>
      <c r="B41" s="59">
        <v>1</v>
      </c>
      <c r="C41" s="59">
        <v>2</v>
      </c>
      <c r="D41" s="59">
        <v>3</v>
      </c>
      <c r="E41" s="59">
        <v>4</v>
      </c>
      <c r="F41" s="59">
        <v>5</v>
      </c>
      <c r="G41" s="59">
        <v>6</v>
      </c>
      <c r="H41" s="59">
        <v>7</v>
      </c>
      <c r="I41" s="59">
        <v>8</v>
      </c>
      <c r="J41" s="59">
        <v>9</v>
      </c>
      <c r="K41" s="60">
        <v>10</v>
      </c>
    </row>
    <row r="42" ht="20.4" customHeight="1" spans="1:13">
      <c r="A42" s="61" t="s">
        <v>56</v>
      </c>
      <c r="B42" s="62"/>
      <c r="C42" s="62"/>
      <c r="D42" s="62"/>
      <c r="E42" s="62"/>
      <c r="F42" s="62"/>
      <c r="G42" s="62"/>
      <c r="H42" s="62"/>
      <c r="I42" s="62"/>
      <c r="J42" s="62"/>
      <c r="K42" s="63"/>
    </row>
    <row r="43" ht="20.4" customHeight="1" spans="1:13">
      <c r="A43" s="61" t="s">
        <v>57</v>
      </c>
      <c r="B43" s="62"/>
      <c r="C43" s="62"/>
      <c r="D43" s="62"/>
      <c r="E43" s="62"/>
      <c r="F43" s="62"/>
      <c r="G43" s="62"/>
      <c r="H43" s="62"/>
      <c r="I43" s="62"/>
      <c r="J43" s="62"/>
      <c r="K43" s="63"/>
    </row>
    <row r="44" ht="8" customHeight="1" spans="1:13">
      <c r="A44" s="64"/>
      <c r="B44" s="35"/>
      <c r="C44" s="35"/>
      <c r="D44" s="35"/>
      <c r="E44" s="35"/>
      <c r="F44" s="35"/>
      <c r="G44" s="35"/>
      <c r="H44" s="35"/>
      <c r="I44" s="35"/>
      <c r="J44" s="35"/>
      <c r="K44" s="65"/>
    </row>
    <row r="45" ht="29" customHeight="1" spans="1:13">
      <c r="A45" s="66" t="s">
        <v>58</v>
      </c>
      <c r="B45" s="59">
        <v>1</v>
      </c>
      <c r="C45" s="59">
        <v>2</v>
      </c>
      <c r="D45" s="59">
        <v>3</v>
      </c>
      <c r="E45" s="59">
        <v>4</v>
      </c>
      <c r="F45" s="59">
        <v>5</v>
      </c>
      <c r="G45" s="59">
        <v>6</v>
      </c>
      <c r="H45" s="59">
        <v>7</v>
      </c>
      <c r="I45" s="59">
        <v>8</v>
      </c>
      <c r="J45" s="59">
        <v>9</v>
      </c>
      <c r="K45" s="60">
        <v>10</v>
      </c>
    </row>
    <row r="46" s="25" customFormat="1" ht="27" customHeight="1" spans="1:13">
      <c r="A46" s="67" t="s">
        <v>59</v>
      </c>
      <c r="B46" s="59"/>
      <c r="C46" s="59"/>
      <c r="D46" s="59"/>
      <c r="E46" s="59"/>
      <c r="F46" s="59"/>
      <c r="G46" s="59"/>
      <c r="H46" s="59"/>
      <c r="I46" s="59"/>
      <c r="J46" s="59"/>
      <c r="K46" s="60"/>
    </row>
    <row r="47" ht="20.4" customHeight="1" spans="1:13">
      <c r="A47" s="61" t="s">
        <v>60</v>
      </c>
      <c r="B47" s="62"/>
      <c r="C47" s="62"/>
      <c r="D47" s="62"/>
      <c r="E47" s="62"/>
      <c r="F47" s="62"/>
      <c r="G47" s="62"/>
      <c r="H47" s="62"/>
      <c r="I47" s="62"/>
      <c r="J47" s="62"/>
      <c r="K47" s="63"/>
    </row>
    <row r="48" ht="20.4" customHeight="1" spans="1:13">
      <c r="A48" s="64" t="s">
        <v>61</v>
      </c>
      <c r="B48" s="62"/>
      <c r="C48" s="62"/>
      <c r="D48" s="62"/>
      <c r="E48" s="62"/>
      <c r="F48" s="62"/>
      <c r="G48" s="62"/>
      <c r="H48" s="62"/>
      <c r="I48" s="62"/>
      <c r="J48" s="62"/>
      <c r="K48" s="63"/>
    </row>
    <row r="49" ht="20.4" customHeight="1" spans="1:11">
      <c r="A49" s="64" t="s">
        <v>62</v>
      </c>
      <c r="B49" s="62"/>
      <c r="C49" s="62"/>
      <c r="D49" s="62"/>
      <c r="E49" s="62"/>
      <c r="F49" s="62"/>
      <c r="G49" s="62"/>
      <c r="H49" s="62"/>
      <c r="I49" s="62"/>
      <c r="J49" s="62"/>
      <c r="K49" s="63"/>
    </row>
    <row r="50" ht="20.4" customHeight="1" spans="1:11">
      <c r="A50" s="61" t="s">
        <v>63</v>
      </c>
      <c r="B50" s="62"/>
      <c r="C50" s="62"/>
      <c r="D50" s="62"/>
      <c r="E50" s="62"/>
      <c r="F50" s="62"/>
      <c r="G50" s="62"/>
      <c r="H50" s="62"/>
      <c r="I50" s="62"/>
      <c r="J50" s="62"/>
      <c r="K50" s="63"/>
    </row>
    <row r="51" ht="20.4" customHeight="1" spans="1:11">
      <c r="A51" s="61" t="s">
        <v>64</v>
      </c>
      <c r="B51" s="62"/>
      <c r="C51" s="62"/>
      <c r="D51" s="62"/>
      <c r="E51" s="62"/>
      <c r="F51" s="62"/>
      <c r="G51" s="62"/>
      <c r="H51" s="62"/>
      <c r="I51" s="62"/>
      <c r="J51" s="62"/>
      <c r="K51" s="63"/>
    </row>
    <row r="52" ht="20.4" customHeight="1" spans="1:11">
      <c r="A52" s="61" t="s">
        <v>65</v>
      </c>
      <c r="B52" s="62"/>
      <c r="C52" s="62"/>
      <c r="D52" s="62"/>
      <c r="E52" s="62"/>
      <c r="F52" s="62"/>
      <c r="G52" s="62"/>
      <c r="H52" s="62"/>
      <c r="I52" s="62"/>
      <c r="J52" s="62"/>
      <c r="K52" s="63"/>
    </row>
    <row r="53" ht="20.4" customHeight="1" spans="1:11">
      <c r="A53" s="68" t="s">
        <v>66</v>
      </c>
      <c r="B53" s="62"/>
      <c r="C53" s="62"/>
      <c r="D53" s="62"/>
      <c r="E53" s="62"/>
      <c r="F53" s="62"/>
      <c r="G53" s="62"/>
      <c r="H53" s="62"/>
      <c r="I53" s="62"/>
      <c r="J53" s="62"/>
      <c r="K53" s="63"/>
    </row>
    <row r="54" ht="27.6" customHeight="1" spans="1:11">
      <c r="A54" s="44" t="s">
        <v>32</v>
      </c>
      <c r="B54" s="45"/>
      <c r="C54" s="46" t="s">
        <v>33</v>
      </c>
      <c r="D54" s="45"/>
      <c r="E54" s="46" t="s">
        <v>34</v>
      </c>
      <c r="F54" s="47"/>
      <c r="G54" s="45"/>
      <c r="H54" s="69" t="s">
        <v>35</v>
      </c>
      <c r="I54" s="49" t="s">
        <v>53</v>
      </c>
      <c r="J54" s="46" t="s">
        <v>37</v>
      </c>
      <c r="K54" s="50"/>
    </row>
    <row r="55" s="24" customFormat="1" ht="10" customHeight="1" spans="1:11">
      <c r="A55" s="51"/>
      <c r="B55" s="52"/>
      <c r="C55" s="53"/>
      <c r="D55" s="52"/>
      <c r="E55" s="53"/>
      <c r="F55" s="54"/>
      <c r="G55" s="52"/>
      <c r="H55" s="55"/>
      <c r="I55" s="55"/>
      <c r="J55" s="53"/>
      <c r="K55" s="70"/>
    </row>
    <row r="56" ht="20.4" customHeight="1" spans="1:11">
      <c r="A56" s="58" t="s">
        <v>55</v>
      </c>
      <c r="B56" s="59">
        <v>1</v>
      </c>
      <c r="C56" s="59">
        <v>2</v>
      </c>
      <c r="D56" s="59">
        <v>3</v>
      </c>
      <c r="E56" s="59">
        <v>4</v>
      </c>
      <c r="F56" s="59">
        <v>5</v>
      </c>
      <c r="G56" s="59">
        <v>6</v>
      </c>
      <c r="H56" s="59">
        <v>7</v>
      </c>
      <c r="I56" s="59">
        <v>8</v>
      </c>
      <c r="J56" s="59">
        <v>9</v>
      </c>
      <c r="K56" s="60">
        <v>10</v>
      </c>
    </row>
    <row r="57" ht="20.4" customHeight="1" spans="1:11">
      <c r="A57" s="61" t="s">
        <v>56</v>
      </c>
      <c r="B57" s="62"/>
      <c r="C57" s="62"/>
      <c r="D57" s="62"/>
      <c r="E57" s="62"/>
      <c r="F57" s="62"/>
      <c r="G57" s="62"/>
      <c r="H57" s="62"/>
      <c r="I57" s="62"/>
      <c r="J57" s="62"/>
      <c r="K57" s="63"/>
    </row>
    <row r="58" ht="20.4" customHeight="1" spans="1:11">
      <c r="A58" s="61" t="s">
        <v>57</v>
      </c>
      <c r="B58" s="62"/>
      <c r="C58" s="62"/>
      <c r="D58" s="62"/>
      <c r="E58" s="62"/>
      <c r="F58" s="62"/>
      <c r="G58" s="62"/>
      <c r="H58" s="62"/>
      <c r="I58" s="62"/>
      <c r="J58" s="62"/>
      <c r="K58" s="63"/>
    </row>
    <row r="59" ht="10" customHeight="1" spans="1:11">
      <c r="A59" s="64"/>
      <c r="B59" s="35"/>
      <c r="C59" s="35"/>
      <c r="D59" s="35"/>
      <c r="E59" s="35"/>
      <c r="F59" s="35"/>
      <c r="G59" s="35"/>
      <c r="H59" s="35"/>
      <c r="I59" s="35"/>
      <c r="J59" s="35"/>
      <c r="K59" s="65"/>
    </row>
    <row r="60" s="25" customFormat="1" ht="28.2" customHeight="1" spans="1:11">
      <c r="A60" s="66" t="s">
        <v>58</v>
      </c>
      <c r="B60" s="59">
        <v>1</v>
      </c>
      <c r="C60" s="59">
        <v>2</v>
      </c>
      <c r="D60" s="59">
        <v>3</v>
      </c>
      <c r="E60" s="59">
        <v>4</v>
      </c>
      <c r="F60" s="59">
        <v>5</v>
      </c>
      <c r="G60" s="59">
        <v>6</v>
      </c>
      <c r="H60" s="59">
        <v>7</v>
      </c>
      <c r="I60" s="59">
        <v>8</v>
      </c>
      <c r="J60" s="59">
        <v>9</v>
      </c>
      <c r="K60" s="60">
        <v>10</v>
      </c>
    </row>
    <row r="61" ht="20.4" customHeight="1" spans="1:11">
      <c r="A61" s="67" t="s">
        <v>59</v>
      </c>
      <c r="B61" s="59"/>
      <c r="C61" s="59"/>
      <c r="D61" s="59"/>
      <c r="E61" s="59"/>
      <c r="F61" s="59"/>
      <c r="G61" s="59"/>
      <c r="H61" s="59"/>
      <c r="I61" s="59"/>
      <c r="J61" s="59"/>
      <c r="K61" s="60"/>
    </row>
    <row r="62" ht="20.4" customHeight="1" spans="1:11">
      <c r="A62" s="61" t="s">
        <v>60</v>
      </c>
      <c r="B62" s="62"/>
      <c r="C62" s="62"/>
      <c r="D62" s="62"/>
      <c r="E62" s="62"/>
      <c r="F62" s="62"/>
      <c r="G62" s="62"/>
      <c r="H62" s="62"/>
      <c r="I62" s="62"/>
      <c r="J62" s="62"/>
      <c r="K62" s="63"/>
    </row>
    <row r="63" ht="20.4" customHeight="1" spans="1:11">
      <c r="A63" s="64" t="s">
        <v>61</v>
      </c>
      <c r="B63" s="62"/>
      <c r="C63" s="62"/>
      <c r="D63" s="62"/>
      <c r="E63" s="62"/>
      <c r="F63" s="62"/>
      <c r="G63" s="62"/>
      <c r="H63" s="62"/>
      <c r="I63" s="62"/>
      <c r="J63" s="62"/>
      <c r="K63" s="63"/>
    </row>
    <row r="64" ht="20.4" customHeight="1" spans="1:11">
      <c r="A64" s="64" t="s">
        <v>62</v>
      </c>
      <c r="B64" s="62"/>
      <c r="C64" s="62"/>
      <c r="D64" s="62"/>
      <c r="E64" s="62"/>
      <c r="F64" s="62"/>
      <c r="G64" s="62"/>
      <c r="H64" s="62"/>
      <c r="I64" s="62"/>
      <c r="J64" s="62"/>
      <c r="K64" s="63"/>
    </row>
    <row r="65" ht="20.4" customHeight="1" spans="1:13">
      <c r="A65" s="61" t="s">
        <v>63</v>
      </c>
      <c r="B65" s="62"/>
      <c r="C65" s="62"/>
      <c r="D65" s="62"/>
      <c r="E65" s="62"/>
      <c r="F65" s="62"/>
      <c r="G65" s="62"/>
      <c r="H65" s="62"/>
      <c r="I65" s="62"/>
      <c r="J65" s="62"/>
      <c r="K65" s="63"/>
    </row>
    <row r="66" ht="25.2" customHeight="1" spans="1:13">
      <c r="A66" s="61" t="s">
        <v>64</v>
      </c>
      <c r="B66" s="62"/>
      <c r="C66" s="62"/>
      <c r="D66" s="62"/>
      <c r="E66" s="62"/>
      <c r="F66" s="62"/>
      <c r="G66" s="62"/>
      <c r="H66" s="62"/>
      <c r="I66" s="62"/>
      <c r="J66" s="62"/>
      <c r="K66" s="63"/>
    </row>
    <row r="67" ht="14.4" spans="1:13">
      <c r="A67" s="61" t="s">
        <v>65</v>
      </c>
      <c r="B67" s="62"/>
      <c r="C67" s="62"/>
      <c r="D67" s="62"/>
      <c r="E67" s="62"/>
      <c r="F67" s="62"/>
      <c r="G67" s="62"/>
      <c r="H67" s="62"/>
      <c r="I67" s="62"/>
      <c r="J67" s="62"/>
      <c r="K67" s="63"/>
    </row>
    <row r="68" ht="19.8" customHeight="1" spans="1:13">
      <c r="A68" s="71" t="s">
        <v>66</v>
      </c>
      <c r="B68" s="72"/>
      <c r="C68" s="72"/>
      <c r="D68" s="72"/>
      <c r="E68" s="72"/>
      <c r="F68" s="72"/>
      <c r="G68" s="72"/>
      <c r="H68" s="72"/>
      <c r="I68" s="72"/>
      <c r="J68" s="72"/>
      <c r="K68" s="73"/>
    </row>
    <row r="69" ht="24" customHeight="1" spans="1:13">
      <c r="A69" s="27" t="s">
        <v>16</v>
      </c>
      <c r="B69" s="28"/>
      <c r="C69" s="28"/>
      <c r="D69" s="28"/>
      <c r="E69" s="29"/>
      <c r="F69" s="29"/>
      <c r="G69" s="29"/>
      <c r="H69" s="30" t="s">
        <v>51</v>
      </c>
      <c r="I69" s="30"/>
      <c r="J69" s="30"/>
      <c r="K69" s="31"/>
    </row>
    <row r="70" ht="16.2" customHeight="1" spans="1:13">
      <c r="A70" s="32">
        <f>List!F4</f>
        <v>0</v>
      </c>
      <c r="B70" s="33"/>
      <c r="C70" s="34"/>
      <c r="D70" s="33">
        <f>List!E4</f>
        <v>0</v>
      </c>
      <c r="E70" s="33"/>
      <c r="F70" s="35"/>
      <c r="G70" s="36"/>
      <c r="H70" s="36"/>
      <c r="I70" s="35"/>
      <c r="J70" s="37"/>
      <c r="K70" s="38"/>
      <c r="M70" s="43"/>
    </row>
    <row r="71" ht="25" customHeight="1" spans="1:13">
      <c r="A71" s="39" t="s">
        <v>5</v>
      </c>
      <c r="B71" s="35"/>
      <c r="C71" s="35"/>
      <c r="D71" s="74" t="s">
        <v>4</v>
      </c>
      <c r="E71" s="35"/>
      <c r="F71" s="35"/>
      <c r="G71" s="35" t="s">
        <v>24</v>
      </c>
      <c r="H71" s="35"/>
      <c r="I71" s="35"/>
      <c r="J71" s="35" t="s">
        <v>52</v>
      </c>
      <c r="K71" s="41"/>
    </row>
    <row r="72" ht="28" customHeight="1" spans="1:13">
      <c r="A72" s="44" t="s">
        <v>32</v>
      </c>
      <c r="B72" s="45"/>
      <c r="C72" s="46" t="s">
        <v>33</v>
      </c>
      <c r="D72" s="45"/>
      <c r="E72" s="46" t="s">
        <v>34</v>
      </c>
      <c r="F72" s="47"/>
      <c r="G72" s="45"/>
      <c r="H72" s="48" t="s">
        <v>35</v>
      </c>
      <c r="I72" s="49" t="s">
        <v>53</v>
      </c>
      <c r="J72" s="46" t="s">
        <v>37</v>
      </c>
      <c r="K72" s="50"/>
    </row>
    <row r="73" ht="17" customHeight="1" spans="1:13">
      <c r="A73" s="51" t="str">
        <f>List!H4</f>
        <v/>
      </c>
      <c r="B73" s="52"/>
      <c r="C73" s="53">
        <v>600000</v>
      </c>
      <c r="D73" s="52"/>
      <c r="E73" s="53" t="str">
        <f>List!J4</f>
        <v>FRESH  GINGER</v>
      </c>
      <c r="F73" s="54"/>
      <c r="G73" s="52"/>
      <c r="H73" s="55" t="s">
        <v>54</v>
      </c>
      <c r="I73" s="55" t="s">
        <v>41</v>
      </c>
      <c r="J73" s="56" t="str">
        <f>List!K4</f>
        <v>Santao</v>
      </c>
      <c r="K73" s="57"/>
    </row>
    <row r="74" ht="20.4" customHeight="1" spans="1:13">
      <c r="A74" s="58" t="s">
        <v>55</v>
      </c>
      <c r="B74" s="59">
        <v>1</v>
      </c>
      <c r="C74" s="59">
        <v>2</v>
      </c>
      <c r="D74" s="59">
        <v>3</v>
      </c>
      <c r="E74" s="59">
        <v>4</v>
      </c>
      <c r="F74" s="59">
        <v>5</v>
      </c>
      <c r="G74" s="59">
        <v>6</v>
      </c>
      <c r="H74" s="59">
        <v>7</v>
      </c>
      <c r="I74" s="59">
        <v>8</v>
      </c>
      <c r="J74" s="59">
        <v>9</v>
      </c>
      <c r="K74" s="60">
        <v>10</v>
      </c>
    </row>
    <row r="75" ht="20.4" customHeight="1" spans="1:13">
      <c r="A75" s="61" t="s">
        <v>56</v>
      </c>
      <c r="B75" s="62"/>
      <c r="C75" s="62"/>
      <c r="D75" s="62"/>
      <c r="E75" s="62"/>
      <c r="F75" s="62"/>
      <c r="G75" s="62"/>
      <c r="H75" s="62"/>
      <c r="I75" s="62"/>
      <c r="J75" s="62"/>
      <c r="K75" s="63"/>
    </row>
    <row r="76" s="25" customFormat="1" ht="27" customHeight="1" spans="1:13">
      <c r="A76" s="61" t="s">
        <v>57</v>
      </c>
      <c r="B76" s="62"/>
      <c r="C76" s="62"/>
      <c r="D76" s="62"/>
      <c r="E76" s="62"/>
      <c r="F76" s="62"/>
      <c r="G76" s="62"/>
      <c r="H76" s="62"/>
      <c r="I76" s="62"/>
      <c r="J76" s="62"/>
      <c r="K76" s="63"/>
    </row>
    <row r="77" ht="7" customHeight="1" spans="1:13">
      <c r="A77" s="64"/>
      <c r="B77" s="35"/>
      <c r="C77" s="35"/>
      <c r="D77" s="35"/>
      <c r="E77" s="35"/>
      <c r="F77" s="35"/>
      <c r="G77" s="35"/>
      <c r="H77" s="35"/>
      <c r="I77" s="35"/>
      <c r="J77" s="35"/>
      <c r="K77" s="65"/>
    </row>
    <row r="78" ht="27" customHeight="1" spans="1:13">
      <c r="A78" s="66" t="s">
        <v>58</v>
      </c>
      <c r="B78" s="59">
        <v>1</v>
      </c>
      <c r="C78" s="59">
        <v>2</v>
      </c>
      <c r="D78" s="59">
        <v>3</v>
      </c>
      <c r="E78" s="59">
        <v>4</v>
      </c>
      <c r="F78" s="59">
        <v>5</v>
      </c>
      <c r="G78" s="59">
        <v>6</v>
      </c>
      <c r="H78" s="59">
        <v>7</v>
      </c>
      <c r="I78" s="59">
        <v>8</v>
      </c>
      <c r="J78" s="59">
        <v>9</v>
      </c>
      <c r="K78" s="60">
        <v>10</v>
      </c>
    </row>
    <row r="79" ht="20.4" customHeight="1" spans="1:13">
      <c r="A79" s="67" t="s">
        <v>59</v>
      </c>
      <c r="B79" s="59"/>
      <c r="C79" s="59"/>
      <c r="D79" s="59"/>
      <c r="E79" s="59"/>
      <c r="F79" s="59"/>
      <c r="G79" s="59"/>
      <c r="H79" s="59"/>
      <c r="I79" s="59"/>
      <c r="J79" s="59"/>
      <c r="K79" s="60"/>
    </row>
    <row r="80" ht="20.4" customHeight="1" spans="1:13">
      <c r="A80" s="61" t="s">
        <v>60</v>
      </c>
      <c r="B80" s="62"/>
      <c r="C80" s="62"/>
      <c r="D80" s="62"/>
      <c r="E80" s="62"/>
      <c r="F80" s="62"/>
      <c r="G80" s="62"/>
      <c r="H80" s="62"/>
      <c r="I80" s="62"/>
      <c r="J80" s="62"/>
      <c r="K80" s="63"/>
    </row>
    <row r="81" ht="20.4" customHeight="1" spans="1:11">
      <c r="A81" s="64" t="s">
        <v>61</v>
      </c>
      <c r="B81" s="62"/>
      <c r="C81" s="62"/>
      <c r="D81" s="62"/>
      <c r="E81" s="62"/>
      <c r="F81" s="62"/>
      <c r="G81" s="62"/>
      <c r="H81" s="62"/>
      <c r="I81" s="62"/>
      <c r="J81" s="62"/>
      <c r="K81" s="63"/>
    </row>
    <row r="82" ht="20.4" customHeight="1" spans="1:11">
      <c r="A82" s="64" t="s">
        <v>62</v>
      </c>
      <c r="B82" s="62"/>
      <c r="C82" s="62"/>
      <c r="D82" s="62"/>
      <c r="E82" s="62"/>
      <c r="F82" s="62"/>
      <c r="G82" s="62"/>
      <c r="H82" s="62"/>
      <c r="I82" s="62"/>
      <c r="J82" s="62"/>
      <c r="K82" s="63"/>
    </row>
    <row r="83" ht="20.4" customHeight="1" spans="1:11">
      <c r="A83" s="61" t="s">
        <v>63</v>
      </c>
      <c r="B83" s="62"/>
      <c r="C83" s="62"/>
      <c r="D83" s="62"/>
      <c r="E83" s="62"/>
      <c r="F83" s="62"/>
      <c r="G83" s="62"/>
      <c r="H83" s="62"/>
      <c r="I83" s="62"/>
      <c r="J83" s="62"/>
      <c r="K83" s="63"/>
    </row>
    <row r="84" ht="27.6" customHeight="1" spans="1:11">
      <c r="A84" s="61" t="s">
        <v>64</v>
      </c>
      <c r="B84" s="62"/>
      <c r="C84" s="62"/>
      <c r="D84" s="62"/>
      <c r="E84" s="62"/>
      <c r="F84" s="62"/>
      <c r="G84" s="62"/>
      <c r="H84" s="62"/>
      <c r="I84" s="62"/>
      <c r="J84" s="62"/>
      <c r="K84" s="63"/>
    </row>
    <row r="85" s="24" customFormat="1" ht="20.4" customHeight="1" spans="1:11">
      <c r="A85" s="61" t="s">
        <v>65</v>
      </c>
      <c r="B85" s="62"/>
      <c r="C85" s="62"/>
      <c r="D85" s="62"/>
      <c r="E85" s="62"/>
      <c r="F85" s="62"/>
      <c r="G85" s="62"/>
      <c r="H85" s="62"/>
      <c r="I85" s="62"/>
      <c r="J85" s="62"/>
      <c r="K85" s="63"/>
    </row>
    <row r="86" ht="20.4" customHeight="1" spans="1:11">
      <c r="A86" s="68" t="s">
        <v>66</v>
      </c>
      <c r="B86" s="62"/>
      <c r="C86" s="62"/>
      <c r="D86" s="62"/>
      <c r="E86" s="62"/>
      <c r="F86" s="62"/>
      <c r="G86" s="62"/>
      <c r="H86" s="62"/>
      <c r="I86" s="62"/>
      <c r="J86" s="62"/>
      <c r="K86" s="63"/>
    </row>
    <row r="87" ht="20.4" customHeight="1" spans="1:11">
      <c r="A87" s="44" t="s">
        <v>32</v>
      </c>
      <c r="B87" s="45"/>
      <c r="C87" s="46" t="s">
        <v>33</v>
      </c>
      <c r="D87" s="45"/>
      <c r="E87" s="46" t="s">
        <v>34</v>
      </c>
      <c r="F87" s="47"/>
      <c r="G87" s="45"/>
      <c r="H87" s="69" t="s">
        <v>35</v>
      </c>
      <c r="I87" s="49" t="s">
        <v>53</v>
      </c>
      <c r="J87" s="46" t="s">
        <v>37</v>
      </c>
      <c r="K87" s="50"/>
    </row>
    <row r="88" ht="10" customHeight="1" spans="1:11">
      <c r="A88" s="51"/>
      <c r="B88" s="52"/>
      <c r="C88" s="53"/>
      <c r="D88" s="52"/>
      <c r="E88" s="53"/>
      <c r="F88" s="54"/>
      <c r="G88" s="52"/>
      <c r="H88" s="55"/>
      <c r="I88" s="55"/>
      <c r="J88" s="53"/>
      <c r="K88" s="70"/>
    </row>
    <row r="89" ht="20.4" customHeight="1" spans="1:11">
      <c r="A89" s="58" t="s">
        <v>55</v>
      </c>
      <c r="B89" s="59">
        <v>1</v>
      </c>
      <c r="C89" s="59">
        <v>2</v>
      </c>
      <c r="D89" s="59">
        <v>3</v>
      </c>
      <c r="E89" s="59">
        <v>4</v>
      </c>
      <c r="F89" s="59">
        <v>5</v>
      </c>
      <c r="G89" s="59">
        <v>6</v>
      </c>
      <c r="H89" s="59">
        <v>7</v>
      </c>
      <c r="I89" s="59">
        <v>8</v>
      </c>
      <c r="J89" s="59">
        <v>9</v>
      </c>
      <c r="K89" s="60">
        <v>10</v>
      </c>
    </row>
    <row r="90" s="25" customFormat="1" ht="20" customHeight="1" spans="1:11">
      <c r="A90" s="61" t="s">
        <v>56</v>
      </c>
      <c r="B90" s="62"/>
      <c r="C90" s="62"/>
      <c r="D90" s="62"/>
      <c r="E90" s="62"/>
      <c r="F90" s="62"/>
      <c r="G90" s="62"/>
      <c r="H90" s="62"/>
      <c r="I90" s="62"/>
      <c r="J90" s="62"/>
      <c r="K90" s="63"/>
    </row>
    <row r="91" ht="20.4" customHeight="1" spans="1:11">
      <c r="A91" s="61" t="s">
        <v>57</v>
      </c>
      <c r="B91" s="62"/>
      <c r="C91" s="62"/>
      <c r="D91" s="62"/>
      <c r="E91" s="62"/>
      <c r="F91" s="62"/>
      <c r="G91" s="62"/>
      <c r="H91" s="62"/>
      <c r="I91" s="62"/>
      <c r="J91" s="62"/>
      <c r="K91" s="63"/>
    </row>
    <row r="92" ht="6" customHeight="1" spans="1:11">
      <c r="A92" s="64"/>
      <c r="B92" s="35"/>
      <c r="C92" s="35"/>
      <c r="D92" s="35"/>
      <c r="E92" s="35"/>
      <c r="F92" s="35"/>
      <c r="G92" s="35"/>
      <c r="H92" s="35"/>
      <c r="I92" s="35"/>
      <c r="J92" s="35"/>
      <c r="K92" s="65"/>
    </row>
    <row r="93" ht="27" customHeight="1" spans="1:11">
      <c r="A93" s="66" t="s">
        <v>58</v>
      </c>
      <c r="B93" s="59">
        <v>1</v>
      </c>
      <c r="C93" s="59">
        <v>2</v>
      </c>
      <c r="D93" s="59">
        <v>3</v>
      </c>
      <c r="E93" s="59">
        <v>4</v>
      </c>
      <c r="F93" s="59">
        <v>5</v>
      </c>
      <c r="G93" s="59">
        <v>6</v>
      </c>
      <c r="H93" s="59">
        <v>7</v>
      </c>
      <c r="I93" s="59">
        <v>8</v>
      </c>
      <c r="J93" s="59">
        <v>9</v>
      </c>
      <c r="K93" s="60">
        <v>10</v>
      </c>
    </row>
    <row r="94" ht="21" customHeight="1" spans="1:11">
      <c r="A94" s="67" t="s">
        <v>59</v>
      </c>
      <c r="B94" s="59"/>
      <c r="C94" s="59"/>
      <c r="D94" s="59"/>
      <c r="E94" s="59"/>
      <c r="F94" s="59"/>
      <c r="G94" s="59"/>
      <c r="H94" s="59"/>
      <c r="I94" s="59"/>
      <c r="J94" s="59"/>
      <c r="K94" s="60"/>
    </row>
    <row r="95" ht="21" customHeight="1" spans="1:11">
      <c r="A95" s="61" t="s">
        <v>60</v>
      </c>
      <c r="B95" s="62"/>
      <c r="C95" s="62"/>
      <c r="D95" s="62"/>
      <c r="E95" s="62"/>
      <c r="F95" s="62"/>
      <c r="G95" s="62"/>
      <c r="H95" s="62"/>
      <c r="I95" s="62"/>
      <c r="J95" s="62"/>
      <c r="K95" s="63"/>
    </row>
    <row r="96" ht="21" customHeight="1" spans="1:11">
      <c r="A96" s="64" t="s">
        <v>61</v>
      </c>
      <c r="B96" s="62"/>
      <c r="C96" s="62"/>
      <c r="D96" s="62"/>
      <c r="E96" s="62"/>
      <c r="F96" s="62"/>
      <c r="G96" s="62"/>
      <c r="H96" s="62"/>
      <c r="I96" s="62"/>
      <c r="J96" s="62"/>
      <c r="K96" s="63"/>
    </row>
    <row r="97" ht="21" customHeight="1" spans="1:13">
      <c r="A97" s="64" t="s">
        <v>62</v>
      </c>
      <c r="B97" s="62"/>
      <c r="C97" s="62"/>
      <c r="D97" s="62"/>
      <c r="E97" s="62"/>
      <c r="F97" s="62"/>
      <c r="G97" s="62"/>
      <c r="H97" s="62"/>
      <c r="I97" s="62"/>
      <c r="J97" s="62"/>
      <c r="K97" s="63"/>
    </row>
    <row r="98" ht="21" customHeight="1" spans="1:13">
      <c r="A98" s="61" t="s">
        <v>63</v>
      </c>
      <c r="B98" s="62"/>
      <c r="C98" s="62"/>
      <c r="D98" s="62"/>
      <c r="E98" s="62"/>
      <c r="F98" s="62"/>
      <c r="G98" s="62"/>
      <c r="H98" s="62"/>
      <c r="I98" s="62"/>
      <c r="J98" s="62"/>
      <c r="K98" s="63"/>
    </row>
    <row r="99" ht="21" customHeight="1" spans="1:13">
      <c r="A99" s="61" t="s">
        <v>64</v>
      </c>
      <c r="B99" s="62"/>
      <c r="C99" s="62"/>
      <c r="D99" s="62"/>
      <c r="E99" s="62"/>
      <c r="F99" s="62"/>
      <c r="G99" s="62"/>
      <c r="H99" s="62"/>
      <c r="I99" s="62"/>
      <c r="J99" s="62"/>
      <c r="K99" s="63"/>
    </row>
    <row r="100" ht="21" customHeight="1" spans="1:13">
      <c r="A100" s="61" t="s">
        <v>65</v>
      </c>
      <c r="B100" s="62"/>
      <c r="C100" s="62"/>
      <c r="D100" s="62"/>
      <c r="E100" s="62"/>
      <c r="F100" s="62"/>
      <c r="G100" s="62"/>
      <c r="H100" s="62"/>
      <c r="I100" s="62"/>
      <c r="J100" s="62"/>
      <c r="K100" s="63"/>
      <c r="M100" s="43"/>
    </row>
    <row r="101" ht="21" customHeight="1" spans="1:13">
      <c r="A101" s="71" t="s">
        <v>66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73"/>
    </row>
    <row r="102" s="24" customFormat="1" ht="21" customHeight="1" spans="1:13">
      <c r="A102" s="27" t="s">
        <v>16</v>
      </c>
      <c r="B102" s="28"/>
      <c r="C102" s="28"/>
      <c r="D102" s="28"/>
      <c r="E102" s="29"/>
      <c r="F102" s="29"/>
      <c r="G102" s="29"/>
      <c r="H102" s="30" t="s">
        <v>51</v>
      </c>
      <c r="I102" s="30"/>
      <c r="J102" s="30"/>
      <c r="K102" s="31"/>
    </row>
    <row r="103" ht="20.4" customHeight="1" spans="1:13">
      <c r="A103" s="32">
        <f>List!F5</f>
        <v>0</v>
      </c>
      <c r="B103" s="33"/>
      <c r="C103" s="34"/>
      <c r="D103" s="33">
        <f>List!E5</f>
        <v>0</v>
      </c>
      <c r="E103" s="33"/>
      <c r="F103" s="35"/>
      <c r="G103" s="36"/>
      <c r="H103" s="36"/>
      <c r="I103" s="35"/>
      <c r="J103" s="37"/>
      <c r="K103" s="38"/>
    </row>
    <row r="104" ht="20.4" customHeight="1" spans="1:13">
      <c r="A104" s="39" t="s">
        <v>5</v>
      </c>
      <c r="B104" s="35"/>
      <c r="C104" s="35"/>
      <c r="D104" s="74" t="s">
        <v>4</v>
      </c>
      <c r="E104" s="35"/>
      <c r="F104" s="35"/>
      <c r="G104" s="35" t="s">
        <v>24</v>
      </c>
      <c r="H104" s="35"/>
      <c r="I104" s="35"/>
      <c r="J104" s="35" t="s">
        <v>52</v>
      </c>
      <c r="K104" s="41"/>
    </row>
    <row r="105" ht="26" customHeight="1" spans="1:13">
      <c r="A105" s="44" t="s">
        <v>32</v>
      </c>
      <c r="B105" s="45"/>
      <c r="C105" s="46" t="s">
        <v>33</v>
      </c>
      <c r="D105" s="45"/>
      <c r="E105" s="46" t="s">
        <v>34</v>
      </c>
      <c r="F105" s="47"/>
      <c r="G105" s="45"/>
      <c r="H105" s="48" t="s">
        <v>35</v>
      </c>
      <c r="I105" s="49" t="s">
        <v>53</v>
      </c>
      <c r="J105" s="46" t="s">
        <v>37</v>
      </c>
      <c r="K105" s="50"/>
    </row>
    <row r="106" s="25" customFormat="1" ht="16" customHeight="1" spans="1:13">
      <c r="A106" s="51" t="str">
        <f>List!H5</f>
        <v/>
      </c>
      <c r="B106" s="52"/>
      <c r="C106" s="53">
        <v>600000</v>
      </c>
      <c r="D106" s="52"/>
      <c r="E106" s="53" t="str">
        <f>List!J5</f>
        <v>FRESH  GINGER</v>
      </c>
      <c r="F106" s="54"/>
      <c r="G106" s="52"/>
      <c r="H106" s="55" t="s">
        <v>54</v>
      </c>
      <c r="I106" s="55" t="s">
        <v>41</v>
      </c>
      <c r="J106" s="56" t="str">
        <f>List!K5</f>
        <v>Santao</v>
      </c>
      <c r="K106" s="57"/>
    </row>
    <row r="107" ht="20.4" customHeight="1" spans="1:13">
      <c r="A107" s="58" t="s">
        <v>55</v>
      </c>
      <c r="B107" s="59">
        <v>1</v>
      </c>
      <c r="C107" s="59">
        <v>2</v>
      </c>
      <c r="D107" s="59">
        <v>3</v>
      </c>
      <c r="E107" s="59">
        <v>4</v>
      </c>
      <c r="F107" s="59">
        <v>5</v>
      </c>
      <c r="G107" s="59">
        <v>6</v>
      </c>
      <c r="H107" s="59">
        <v>7</v>
      </c>
      <c r="I107" s="59">
        <v>8</v>
      </c>
      <c r="J107" s="59">
        <v>9</v>
      </c>
      <c r="K107" s="60">
        <v>10</v>
      </c>
    </row>
    <row r="108" ht="20.4" customHeight="1" spans="1:13">
      <c r="A108" s="61" t="s">
        <v>56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3"/>
    </row>
    <row r="109" ht="20.4" customHeight="1" spans="1:13">
      <c r="A109" s="61" t="s">
        <v>57</v>
      </c>
      <c r="B109" s="62"/>
      <c r="C109" s="62"/>
      <c r="D109" s="62"/>
      <c r="E109" s="62"/>
      <c r="F109" s="62"/>
      <c r="G109" s="62"/>
      <c r="H109" s="62"/>
      <c r="I109" s="62"/>
      <c r="J109" s="62"/>
      <c r="K109" s="63"/>
    </row>
    <row r="110" ht="7" customHeight="1" spans="1:13">
      <c r="A110" s="64"/>
      <c r="B110" s="35"/>
      <c r="C110" s="35"/>
      <c r="D110" s="35"/>
      <c r="E110" s="35"/>
      <c r="F110" s="35"/>
      <c r="G110" s="35"/>
      <c r="H110" s="35"/>
      <c r="I110" s="35"/>
      <c r="J110" s="35"/>
      <c r="K110" s="65"/>
    </row>
    <row r="111" ht="30" customHeight="1" spans="1:13">
      <c r="A111" s="66" t="s">
        <v>58</v>
      </c>
      <c r="B111" s="59">
        <v>1</v>
      </c>
      <c r="C111" s="59">
        <v>2</v>
      </c>
      <c r="D111" s="59">
        <v>3</v>
      </c>
      <c r="E111" s="59">
        <v>4</v>
      </c>
      <c r="F111" s="59">
        <v>5</v>
      </c>
      <c r="G111" s="59">
        <v>6</v>
      </c>
      <c r="H111" s="59">
        <v>7</v>
      </c>
      <c r="I111" s="59">
        <v>8</v>
      </c>
      <c r="J111" s="59">
        <v>9</v>
      </c>
      <c r="K111" s="60">
        <v>10</v>
      </c>
    </row>
    <row r="112" ht="20.4" customHeight="1" spans="1:13">
      <c r="A112" s="67" t="s">
        <v>59</v>
      </c>
      <c r="B112" s="59"/>
      <c r="C112" s="59"/>
      <c r="D112" s="59"/>
      <c r="E112" s="59"/>
      <c r="F112" s="59"/>
      <c r="G112" s="59"/>
      <c r="H112" s="59"/>
      <c r="I112" s="59"/>
      <c r="J112" s="59"/>
      <c r="K112" s="60"/>
    </row>
    <row r="113" ht="20.4" customHeight="1" spans="1:11">
      <c r="A113" s="61" t="s">
        <v>60</v>
      </c>
      <c r="B113" s="62"/>
      <c r="C113" s="62"/>
      <c r="D113" s="62"/>
      <c r="E113" s="62"/>
      <c r="F113" s="62"/>
      <c r="G113" s="62"/>
      <c r="H113" s="62"/>
      <c r="I113" s="62"/>
      <c r="J113" s="62"/>
      <c r="K113" s="63"/>
    </row>
    <row r="114" ht="27.6" customHeight="1" spans="1:11">
      <c r="A114" s="64" t="s">
        <v>61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3"/>
    </row>
    <row r="115" s="24" customFormat="1" ht="20.4" customHeight="1" spans="1:11">
      <c r="A115" s="64" t="s">
        <v>62</v>
      </c>
      <c r="B115" s="62"/>
      <c r="C115" s="62"/>
      <c r="D115" s="62"/>
      <c r="E115" s="62"/>
      <c r="F115" s="62"/>
      <c r="G115" s="62"/>
      <c r="H115" s="62"/>
      <c r="I115" s="62"/>
      <c r="J115" s="62"/>
      <c r="K115" s="63"/>
    </row>
    <row r="116" ht="20.4" customHeight="1" spans="1:11">
      <c r="A116" s="61" t="s">
        <v>63</v>
      </c>
      <c r="B116" s="62"/>
      <c r="C116" s="62"/>
      <c r="D116" s="62"/>
      <c r="E116" s="62"/>
      <c r="F116" s="62"/>
      <c r="G116" s="62"/>
      <c r="H116" s="62"/>
      <c r="I116" s="62"/>
      <c r="J116" s="62"/>
      <c r="K116" s="63"/>
    </row>
    <row r="117" ht="20.4" customHeight="1" spans="1:11">
      <c r="A117" s="61" t="s">
        <v>64</v>
      </c>
      <c r="B117" s="62"/>
      <c r="C117" s="62"/>
      <c r="D117" s="62"/>
      <c r="E117" s="62"/>
      <c r="F117" s="62"/>
      <c r="G117" s="62"/>
      <c r="H117" s="62"/>
      <c r="I117" s="62"/>
      <c r="J117" s="62"/>
      <c r="K117" s="63"/>
    </row>
    <row r="118" ht="20.4" customHeight="1" spans="1:11">
      <c r="A118" s="61" t="s">
        <v>65</v>
      </c>
      <c r="B118" s="62"/>
      <c r="C118" s="62"/>
      <c r="D118" s="62"/>
      <c r="E118" s="62"/>
      <c r="F118" s="62"/>
      <c r="G118" s="62"/>
      <c r="H118" s="62"/>
      <c r="I118" s="62"/>
      <c r="J118" s="62"/>
      <c r="K118" s="63"/>
    </row>
    <row r="119" ht="20.4" customHeight="1" spans="1:11">
      <c r="A119" s="68" t="s">
        <v>66</v>
      </c>
      <c r="B119" s="62"/>
      <c r="C119" s="62"/>
      <c r="D119" s="62"/>
      <c r="E119" s="62"/>
      <c r="F119" s="62"/>
      <c r="G119" s="62"/>
      <c r="H119" s="62"/>
      <c r="I119" s="62"/>
      <c r="J119" s="62"/>
      <c r="K119" s="63"/>
    </row>
    <row r="120" s="25" customFormat="1" ht="28.2" customHeight="1" spans="1:11">
      <c r="A120" s="44" t="s">
        <v>32</v>
      </c>
      <c r="B120" s="45"/>
      <c r="C120" s="46" t="s">
        <v>33</v>
      </c>
      <c r="D120" s="45"/>
      <c r="E120" s="46" t="s">
        <v>34</v>
      </c>
      <c r="F120" s="47"/>
      <c r="G120" s="45"/>
      <c r="H120" s="69" t="s">
        <v>35</v>
      </c>
      <c r="I120" s="49" t="s">
        <v>53</v>
      </c>
      <c r="J120" s="46" t="s">
        <v>37</v>
      </c>
      <c r="K120" s="50"/>
    </row>
    <row r="121" ht="9" customHeight="1" spans="1:11">
      <c r="A121" s="51"/>
      <c r="B121" s="52"/>
      <c r="C121" s="53"/>
      <c r="D121" s="52"/>
      <c r="E121" s="53"/>
      <c r="F121" s="54"/>
      <c r="G121" s="52"/>
      <c r="H121" s="55"/>
      <c r="I121" s="55"/>
      <c r="J121" s="53"/>
      <c r="K121" s="70"/>
    </row>
    <row r="122" ht="20.4" customHeight="1" spans="1:11">
      <c r="A122" s="58" t="s">
        <v>55</v>
      </c>
      <c r="B122" s="59">
        <v>1</v>
      </c>
      <c r="C122" s="59">
        <v>2</v>
      </c>
      <c r="D122" s="59">
        <v>3</v>
      </c>
      <c r="E122" s="59">
        <v>4</v>
      </c>
      <c r="F122" s="59">
        <v>5</v>
      </c>
      <c r="G122" s="59">
        <v>6</v>
      </c>
      <c r="H122" s="59">
        <v>7</v>
      </c>
      <c r="I122" s="59">
        <v>8</v>
      </c>
      <c r="J122" s="59">
        <v>9</v>
      </c>
      <c r="K122" s="60">
        <v>10</v>
      </c>
    </row>
    <row r="123" ht="20.4" customHeight="1" spans="1:11">
      <c r="A123" s="61" t="s">
        <v>56</v>
      </c>
      <c r="B123" s="62"/>
      <c r="C123" s="62"/>
      <c r="D123" s="62"/>
      <c r="E123" s="62"/>
      <c r="F123" s="62"/>
      <c r="G123" s="62"/>
      <c r="H123" s="62"/>
      <c r="I123" s="62"/>
      <c r="J123" s="62"/>
      <c r="K123" s="63"/>
    </row>
    <row r="124" ht="20.4" customHeight="1" spans="1:11">
      <c r="A124" s="61" t="s">
        <v>57</v>
      </c>
      <c r="B124" s="62"/>
      <c r="C124" s="62"/>
      <c r="D124" s="62"/>
      <c r="E124" s="62"/>
      <c r="F124" s="62"/>
      <c r="G124" s="62"/>
      <c r="H124" s="62"/>
      <c r="I124" s="62"/>
      <c r="J124" s="62"/>
      <c r="K124" s="63"/>
    </row>
    <row r="125" ht="6" customHeight="1" spans="1:11">
      <c r="A125" s="64"/>
      <c r="B125" s="35"/>
      <c r="C125" s="35"/>
      <c r="D125" s="35"/>
      <c r="E125" s="35"/>
      <c r="F125" s="35"/>
      <c r="G125" s="35"/>
      <c r="H125" s="35"/>
      <c r="I125" s="35"/>
      <c r="J125" s="35"/>
      <c r="K125" s="65"/>
    </row>
    <row r="126" ht="28" customHeight="1" spans="1:11">
      <c r="A126" s="66" t="s">
        <v>58</v>
      </c>
      <c r="B126" s="59">
        <v>1</v>
      </c>
      <c r="C126" s="59">
        <v>2</v>
      </c>
      <c r="D126" s="59">
        <v>3</v>
      </c>
      <c r="E126" s="59">
        <v>4</v>
      </c>
      <c r="F126" s="59">
        <v>5</v>
      </c>
      <c r="G126" s="59">
        <v>6</v>
      </c>
      <c r="H126" s="59">
        <v>7</v>
      </c>
      <c r="I126" s="59">
        <v>8</v>
      </c>
      <c r="J126" s="59">
        <v>9</v>
      </c>
      <c r="K126" s="60">
        <v>10</v>
      </c>
    </row>
    <row r="127" ht="21" customHeight="1" spans="1:11">
      <c r="A127" s="67" t="s">
        <v>59</v>
      </c>
      <c r="B127" s="59"/>
      <c r="C127" s="59"/>
      <c r="D127" s="59"/>
      <c r="E127" s="59"/>
      <c r="F127" s="59"/>
      <c r="G127" s="59"/>
      <c r="H127" s="59"/>
      <c r="I127" s="59"/>
      <c r="J127" s="59"/>
      <c r="K127" s="60"/>
    </row>
    <row r="128" ht="21" customHeight="1" spans="1:11">
      <c r="A128" s="61" t="s">
        <v>60</v>
      </c>
      <c r="B128" s="62"/>
      <c r="C128" s="62"/>
      <c r="D128" s="62"/>
      <c r="E128" s="62"/>
      <c r="F128" s="62"/>
      <c r="G128" s="62"/>
      <c r="H128" s="62"/>
      <c r="I128" s="62"/>
      <c r="J128" s="62"/>
      <c r="K128" s="63"/>
    </row>
    <row r="129" ht="21" customHeight="1" spans="1:13">
      <c r="A129" s="64" t="s">
        <v>61</v>
      </c>
      <c r="B129" s="62"/>
      <c r="C129" s="62"/>
      <c r="D129" s="62"/>
      <c r="E129" s="62"/>
      <c r="F129" s="62"/>
      <c r="G129" s="62"/>
      <c r="H129" s="62"/>
      <c r="I129" s="62"/>
      <c r="J129" s="62"/>
      <c r="K129" s="63"/>
    </row>
    <row r="130" ht="21" customHeight="1" spans="1:13">
      <c r="A130" s="64" t="s">
        <v>62</v>
      </c>
      <c r="B130" s="62"/>
      <c r="C130" s="62"/>
      <c r="D130" s="62"/>
      <c r="E130" s="62"/>
      <c r="F130" s="62"/>
      <c r="G130" s="62"/>
      <c r="H130" s="62"/>
      <c r="I130" s="62"/>
      <c r="J130" s="62"/>
      <c r="K130" s="63"/>
      <c r="M130" s="43"/>
    </row>
    <row r="131" ht="21" customHeight="1" spans="1:13">
      <c r="A131" s="61" t="s">
        <v>63</v>
      </c>
      <c r="B131" s="62"/>
      <c r="C131" s="62"/>
      <c r="D131" s="62"/>
      <c r="E131" s="62"/>
      <c r="F131" s="62"/>
      <c r="G131" s="62"/>
      <c r="H131" s="62"/>
      <c r="I131" s="62"/>
      <c r="J131" s="62"/>
      <c r="K131" s="63"/>
    </row>
    <row r="132" s="24" customFormat="1" ht="21" customHeight="1" spans="1:13">
      <c r="A132" s="61" t="s">
        <v>64</v>
      </c>
      <c r="B132" s="62"/>
      <c r="C132" s="62"/>
      <c r="D132" s="62"/>
      <c r="E132" s="62"/>
      <c r="F132" s="62"/>
      <c r="G132" s="62"/>
      <c r="H132" s="62"/>
      <c r="I132" s="62"/>
      <c r="J132" s="62"/>
      <c r="K132" s="63"/>
    </row>
    <row r="133" ht="21" customHeight="1" spans="1:13">
      <c r="A133" s="61" t="s">
        <v>65</v>
      </c>
      <c r="B133" s="62"/>
      <c r="C133" s="62"/>
      <c r="D133" s="62"/>
      <c r="E133" s="62"/>
      <c r="F133" s="62"/>
      <c r="G133" s="62"/>
      <c r="H133" s="62"/>
      <c r="I133" s="62"/>
      <c r="J133" s="62"/>
      <c r="K133" s="63"/>
    </row>
    <row r="134" ht="21" customHeight="1" spans="1:13">
      <c r="A134" s="71" t="s">
        <v>66</v>
      </c>
      <c r="B134" s="72"/>
      <c r="C134" s="72"/>
      <c r="D134" s="72"/>
      <c r="E134" s="72"/>
      <c r="F134" s="72"/>
      <c r="G134" s="72"/>
      <c r="H134" s="72"/>
      <c r="I134" s="72"/>
      <c r="J134" s="72"/>
      <c r="K134" s="73"/>
    </row>
    <row r="135" ht="20.4" customHeight="1" spans="1:13">
      <c r="A135" s="27" t="s">
        <v>16</v>
      </c>
      <c r="B135" s="28"/>
      <c r="C135" s="28"/>
      <c r="D135" s="28"/>
      <c r="E135" s="29"/>
      <c r="F135" s="29"/>
      <c r="G135" s="29"/>
      <c r="H135" s="30" t="s">
        <v>51</v>
      </c>
      <c r="I135" s="30"/>
      <c r="J135" s="30"/>
      <c r="K135" s="31"/>
    </row>
    <row r="136" ht="20.4" customHeight="1" spans="1:13">
      <c r="A136" s="32">
        <f>List!F6</f>
        <v>0</v>
      </c>
      <c r="B136" s="33"/>
      <c r="C136" s="34"/>
      <c r="D136" s="33">
        <f>List!E6</f>
        <v>0</v>
      </c>
      <c r="E136" s="33"/>
      <c r="F136" s="35"/>
      <c r="G136" s="36"/>
      <c r="H136" s="36"/>
      <c r="I136" s="35"/>
      <c r="J136" s="37"/>
      <c r="K136" s="38"/>
    </row>
    <row r="137" s="25" customFormat="1" ht="27" customHeight="1" spans="1:13">
      <c r="A137" s="39" t="s">
        <v>5</v>
      </c>
      <c r="B137" s="35"/>
      <c r="C137" s="35"/>
      <c r="D137" s="74" t="s">
        <v>4</v>
      </c>
      <c r="E137" s="35"/>
      <c r="F137" s="35"/>
      <c r="G137" s="35" t="s">
        <v>24</v>
      </c>
      <c r="H137" s="35"/>
      <c r="I137" s="35"/>
      <c r="J137" s="35" t="s">
        <v>52</v>
      </c>
      <c r="K137" s="41"/>
    </row>
    <row r="138" ht="27" customHeight="1" spans="1:13">
      <c r="A138" s="44" t="s">
        <v>32</v>
      </c>
      <c r="B138" s="45"/>
      <c r="C138" s="46" t="s">
        <v>33</v>
      </c>
      <c r="D138" s="45"/>
      <c r="E138" s="46" t="s">
        <v>34</v>
      </c>
      <c r="F138" s="47"/>
      <c r="G138" s="45"/>
      <c r="H138" s="48" t="s">
        <v>35</v>
      </c>
      <c r="I138" s="49" t="s">
        <v>53</v>
      </c>
      <c r="J138" s="46" t="s">
        <v>37</v>
      </c>
      <c r="K138" s="50"/>
    </row>
    <row r="139" ht="15" customHeight="1" spans="1:13">
      <c r="A139" s="51" t="str">
        <f>List!H6</f>
        <v/>
      </c>
      <c r="B139" s="52"/>
      <c r="C139" s="53">
        <v>600000</v>
      </c>
      <c r="D139" s="52"/>
      <c r="E139" s="53" t="str">
        <f>List!J6</f>
        <v>FRESH  GINGER</v>
      </c>
      <c r="F139" s="54"/>
      <c r="G139" s="52"/>
      <c r="H139" s="55" t="s">
        <v>54</v>
      </c>
      <c r="I139" s="55" t="s">
        <v>41</v>
      </c>
      <c r="J139" s="56" t="str">
        <f>List!K6</f>
        <v>Santao</v>
      </c>
      <c r="K139" s="57"/>
    </row>
    <row r="140" ht="20.4" customHeight="1" spans="1:13">
      <c r="A140" s="58" t="s">
        <v>55</v>
      </c>
      <c r="B140" s="59">
        <v>1</v>
      </c>
      <c r="C140" s="59">
        <v>2</v>
      </c>
      <c r="D140" s="59">
        <v>3</v>
      </c>
      <c r="E140" s="59">
        <v>4</v>
      </c>
      <c r="F140" s="59">
        <v>5</v>
      </c>
      <c r="G140" s="59">
        <v>6</v>
      </c>
      <c r="H140" s="59">
        <v>7</v>
      </c>
      <c r="I140" s="59">
        <v>8</v>
      </c>
      <c r="J140" s="59">
        <v>9</v>
      </c>
      <c r="K140" s="60">
        <v>10</v>
      </c>
    </row>
    <row r="141" ht="20.4" customHeight="1" spans="1:13">
      <c r="A141" s="61" t="s">
        <v>56</v>
      </c>
      <c r="B141" s="62"/>
      <c r="C141" s="62"/>
      <c r="D141" s="62"/>
      <c r="E141" s="62"/>
      <c r="F141" s="62"/>
      <c r="G141" s="62"/>
      <c r="H141" s="62"/>
      <c r="I141" s="62"/>
      <c r="J141" s="62"/>
      <c r="K141" s="63"/>
    </row>
    <row r="142" ht="20.4" customHeight="1" spans="1:13">
      <c r="A142" s="61" t="s">
        <v>57</v>
      </c>
      <c r="B142" s="62"/>
      <c r="C142" s="62"/>
      <c r="D142" s="62"/>
      <c r="E142" s="62"/>
      <c r="F142" s="62"/>
      <c r="G142" s="62"/>
      <c r="H142" s="62"/>
      <c r="I142" s="62"/>
      <c r="J142" s="62"/>
      <c r="K142" s="63"/>
    </row>
    <row r="143" ht="7" customHeight="1" spans="1:13">
      <c r="A143" s="64"/>
      <c r="B143" s="35"/>
      <c r="C143" s="35"/>
      <c r="D143" s="35"/>
      <c r="E143" s="35"/>
      <c r="F143" s="35"/>
      <c r="G143" s="35"/>
      <c r="H143" s="35"/>
      <c r="I143" s="35"/>
      <c r="J143" s="35"/>
      <c r="K143" s="65"/>
    </row>
    <row r="144" ht="27.6" customHeight="1" spans="1:13">
      <c r="A144" s="66" t="s">
        <v>58</v>
      </c>
      <c r="B144" s="59">
        <v>1</v>
      </c>
      <c r="C144" s="59">
        <v>2</v>
      </c>
      <c r="D144" s="59">
        <v>3</v>
      </c>
      <c r="E144" s="59">
        <v>4</v>
      </c>
      <c r="F144" s="59">
        <v>5</v>
      </c>
      <c r="G144" s="59">
        <v>6</v>
      </c>
      <c r="H144" s="59">
        <v>7</v>
      </c>
      <c r="I144" s="59">
        <v>8</v>
      </c>
      <c r="J144" s="59">
        <v>9</v>
      </c>
      <c r="K144" s="60">
        <v>10</v>
      </c>
    </row>
    <row r="145" s="24" customFormat="1" ht="20.4" customHeight="1" spans="1:13">
      <c r="A145" s="67" t="s">
        <v>59</v>
      </c>
      <c r="B145" s="59"/>
      <c r="C145" s="59"/>
      <c r="D145" s="59"/>
      <c r="E145" s="59"/>
      <c r="F145" s="59"/>
      <c r="G145" s="59"/>
      <c r="H145" s="59"/>
      <c r="I145" s="59"/>
      <c r="J145" s="59"/>
      <c r="K145" s="60"/>
    </row>
    <row r="146" ht="20.4" customHeight="1" spans="1:13">
      <c r="A146" s="61" t="s">
        <v>60</v>
      </c>
      <c r="B146" s="62"/>
      <c r="C146" s="62"/>
      <c r="D146" s="62"/>
      <c r="E146" s="62"/>
      <c r="F146" s="62"/>
      <c r="G146" s="62"/>
      <c r="H146" s="62"/>
      <c r="I146" s="62"/>
      <c r="J146" s="62"/>
      <c r="K146" s="63"/>
    </row>
    <row r="147" ht="20.4" customHeight="1" spans="1:13">
      <c r="A147" s="64" t="s">
        <v>61</v>
      </c>
      <c r="B147" s="62"/>
      <c r="C147" s="62"/>
      <c r="D147" s="62"/>
      <c r="E147" s="62"/>
      <c r="F147" s="62"/>
      <c r="G147" s="62"/>
      <c r="H147" s="62"/>
      <c r="I147" s="62"/>
      <c r="J147" s="62"/>
      <c r="K147" s="63"/>
    </row>
    <row r="148" ht="20.4" customHeight="1" spans="1:13">
      <c r="A148" s="64" t="s">
        <v>62</v>
      </c>
      <c r="B148" s="62"/>
      <c r="C148" s="62"/>
      <c r="D148" s="62"/>
      <c r="E148" s="62"/>
      <c r="F148" s="62"/>
      <c r="G148" s="62"/>
      <c r="H148" s="62"/>
      <c r="I148" s="62"/>
      <c r="J148" s="62"/>
      <c r="K148" s="63"/>
    </row>
    <row r="149" ht="20.4" customHeight="1" spans="1:13">
      <c r="A149" s="61" t="s">
        <v>63</v>
      </c>
      <c r="B149" s="62"/>
      <c r="C149" s="62"/>
      <c r="D149" s="62"/>
      <c r="E149" s="62"/>
      <c r="F149" s="62"/>
      <c r="G149" s="62"/>
      <c r="H149" s="62"/>
      <c r="I149" s="62"/>
      <c r="J149" s="62"/>
      <c r="K149" s="63"/>
    </row>
    <row r="150" s="25" customFormat="1" ht="28.2" customHeight="1" spans="1:13">
      <c r="A150" s="61" t="s">
        <v>64</v>
      </c>
      <c r="B150" s="62"/>
      <c r="C150" s="62"/>
      <c r="D150" s="62"/>
      <c r="E150" s="62"/>
      <c r="F150" s="62"/>
      <c r="G150" s="62"/>
      <c r="H150" s="62"/>
      <c r="I150" s="62"/>
      <c r="J150" s="62"/>
      <c r="K150" s="63"/>
    </row>
    <row r="151" ht="20.4" customHeight="1" spans="1:13">
      <c r="A151" s="61" t="s">
        <v>65</v>
      </c>
      <c r="B151" s="62"/>
      <c r="C151" s="62"/>
      <c r="D151" s="62"/>
      <c r="E151" s="62"/>
      <c r="F151" s="62"/>
      <c r="G151" s="62"/>
      <c r="H151" s="62"/>
      <c r="I151" s="62"/>
      <c r="J151" s="62"/>
      <c r="K151" s="63"/>
    </row>
    <row r="152" ht="20.4" customHeight="1" spans="1:13">
      <c r="A152" s="68" t="s">
        <v>66</v>
      </c>
      <c r="B152" s="62"/>
      <c r="C152" s="62"/>
      <c r="D152" s="62"/>
      <c r="E152" s="62"/>
      <c r="F152" s="62"/>
      <c r="G152" s="62"/>
      <c r="H152" s="62"/>
      <c r="I152" s="62"/>
      <c r="J152" s="62"/>
      <c r="K152" s="63"/>
    </row>
    <row r="153" ht="20.4" customHeight="1" spans="1:13">
      <c r="A153" s="44" t="s">
        <v>32</v>
      </c>
      <c r="B153" s="45"/>
      <c r="C153" s="46" t="s">
        <v>33</v>
      </c>
      <c r="D153" s="45"/>
      <c r="E153" s="46" t="s">
        <v>34</v>
      </c>
      <c r="F153" s="47"/>
      <c r="G153" s="45"/>
      <c r="H153" s="69" t="s">
        <v>35</v>
      </c>
      <c r="I153" s="49" t="s">
        <v>53</v>
      </c>
      <c r="J153" s="46" t="s">
        <v>37</v>
      </c>
      <c r="K153" s="50"/>
    </row>
    <row r="154" ht="12" customHeight="1" spans="1:13">
      <c r="A154" s="51"/>
      <c r="B154" s="52"/>
      <c r="C154" s="53"/>
      <c r="D154" s="52"/>
      <c r="E154" s="53"/>
      <c r="F154" s="54"/>
      <c r="G154" s="52"/>
      <c r="H154" s="55"/>
      <c r="I154" s="55"/>
      <c r="J154" s="53"/>
      <c r="K154" s="70"/>
    </row>
    <row r="155" ht="20.4" customHeight="1" spans="1:13">
      <c r="A155" s="58" t="s">
        <v>55</v>
      </c>
      <c r="B155" s="59">
        <v>1</v>
      </c>
      <c r="C155" s="59">
        <v>2</v>
      </c>
      <c r="D155" s="59">
        <v>3</v>
      </c>
      <c r="E155" s="59">
        <v>4</v>
      </c>
      <c r="F155" s="59">
        <v>5</v>
      </c>
      <c r="G155" s="59">
        <v>6</v>
      </c>
      <c r="H155" s="59">
        <v>7</v>
      </c>
      <c r="I155" s="59">
        <v>8</v>
      </c>
      <c r="J155" s="59">
        <v>9</v>
      </c>
      <c r="K155" s="60">
        <v>10</v>
      </c>
    </row>
    <row r="156" ht="25.2" customHeight="1" spans="1:13">
      <c r="A156" s="61" t="s">
        <v>56</v>
      </c>
      <c r="B156" s="62"/>
      <c r="C156" s="62"/>
      <c r="D156" s="62"/>
      <c r="E156" s="62"/>
      <c r="F156" s="62"/>
      <c r="G156" s="62"/>
      <c r="H156" s="62"/>
      <c r="I156" s="62"/>
      <c r="J156" s="62"/>
      <c r="K156" s="63"/>
    </row>
    <row r="157" ht="14.4" spans="1:13">
      <c r="A157" s="61" t="s">
        <v>57</v>
      </c>
      <c r="B157" s="62"/>
      <c r="C157" s="62"/>
      <c r="D157" s="62"/>
      <c r="E157" s="62"/>
      <c r="F157" s="62"/>
      <c r="G157" s="62"/>
      <c r="H157" s="62"/>
      <c r="I157" s="62"/>
      <c r="J157" s="62"/>
      <c r="K157" s="63"/>
    </row>
    <row r="158" ht="7" customHeight="1" spans="1:13">
      <c r="A158" s="64"/>
      <c r="B158" s="35"/>
      <c r="C158" s="35"/>
      <c r="D158" s="35"/>
      <c r="E158" s="35"/>
      <c r="F158" s="35"/>
      <c r="G158" s="35"/>
      <c r="H158" s="35"/>
      <c r="I158" s="35"/>
      <c r="J158" s="35"/>
      <c r="K158" s="65"/>
    </row>
    <row r="159" ht="28" customHeight="1" spans="1:13">
      <c r="A159" s="66" t="s">
        <v>58</v>
      </c>
      <c r="B159" s="59">
        <v>1</v>
      </c>
      <c r="C159" s="59">
        <v>2</v>
      </c>
      <c r="D159" s="59">
        <v>3</v>
      </c>
      <c r="E159" s="59">
        <v>4</v>
      </c>
      <c r="F159" s="59">
        <v>5</v>
      </c>
      <c r="G159" s="59">
        <v>6</v>
      </c>
      <c r="H159" s="59">
        <v>7</v>
      </c>
      <c r="I159" s="59">
        <v>8</v>
      </c>
      <c r="J159" s="59">
        <v>9</v>
      </c>
      <c r="K159" s="60">
        <v>10</v>
      </c>
    </row>
    <row r="160" ht="21" customHeight="1" spans="1:13">
      <c r="A160" s="67" t="s">
        <v>59</v>
      </c>
      <c r="B160" s="59"/>
      <c r="C160" s="59"/>
      <c r="D160" s="59"/>
      <c r="E160" s="59"/>
      <c r="F160" s="59"/>
      <c r="G160" s="59"/>
      <c r="H160" s="59"/>
      <c r="I160" s="59"/>
      <c r="J160" s="59"/>
      <c r="K160" s="60"/>
      <c r="M160" s="43"/>
    </row>
    <row r="161" ht="21" customHeight="1" spans="1:11">
      <c r="A161" s="61" t="s">
        <v>60</v>
      </c>
      <c r="B161" s="62"/>
      <c r="C161" s="62"/>
      <c r="D161" s="62"/>
      <c r="E161" s="62"/>
      <c r="F161" s="62"/>
      <c r="G161" s="62"/>
      <c r="H161" s="62"/>
      <c r="I161" s="62"/>
      <c r="J161" s="62"/>
      <c r="K161" s="63"/>
    </row>
    <row r="162" s="24" customFormat="1" ht="21" customHeight="1" spans="1:11">
      <c r="A162" s="64" t="s">
        <v>61</v>
      </c>
      <c r="B162" s="62"/>
      <c r="C162" s="62"/>
      <c r="D162" s="62"/>
      <c r="E162" s="62"/>
      <c r="F162" s="62"/>
      <c r="G162" s="62"/>
      <c r="H162" s="62"/>
      <c r="I162" s="62"/>
      <c r="J162" s="62"/>
      <c r="K162" s="63"/>
    </row>
    <row r="163" ht="21" customHeight="1" spans="1:11">
      <c r="A163" s="64" t="s">
        <v>62</v>
      </c>
      <c r="B163" s="62"/>
      <c r="C163" s="62"/>
      <c r="D163" s="62"/>
      <c r="E163" s="62"/>
      <c r="F163" s="62"/>
      <c r="G163" s="62"/>
      <c r="H163" s="62"/>
      <c r="I163" s="62"/>
      <c r="J163" s="62"/>
      <c r="K163" s="63"/>
    </row>
    <row r="164" ht="21" customHeight="1" spans="1:11">
      <c r="A164" s="61" t="s">
        <v>63</v>
      </c>
      <c r="B164" s="62"/>
      <c r="C164" s="62"/>
      <c r="D164" s="62"/>
      <c r="E164" s="62"/>
      <c r="F164" s="62"/>
      <c r="G164" s="62"/>
      <c r="H164" s="62"/>
      <c r="I164" s="62"/>
      <c r="J164" s="62"/>
      <c r="K164" s="63"/>
    </row>
    <row r="165" ht="21" customHeight="1" spans="1:11">
      <c r="A165" s="61" t="s">
        <v>64</v>
      </c>
      <c r="B165" s="62"/>
      <c r="C165" s="62"/>
      <c r="D165" s="62"/>
      <c r="E165" s="62"/>
      <c r="F165" s="62"/>
      <c r="G165" s="62"/>
      <c r="H165" s="62"/>
      <c r="I165" s="62"/>
      <c r="J165" s="62"/>
      <c r="K165" s="63"/>
    </row>
    <row r="166" ht="21" customHeight="1" spans="1:11">
      <c r="A166" s="61" t="s">
        <v>65</v>
      </c>
      <c r="B166" s="62"/>
      <c r="C166" s="62"/>
      <c r="D166" s="62"/>
      <c r="E166" s="62"/>
      <c r="F166" s="62"/>
      <c r="G166" s="62"/>
      <c r="H166" s="62"/>
      <c r="I166" s="62"/>
      <c r="J166" s="62"/>
      <c r="K166" s="63"/>
    </row>
    <row r="167" s="25" customFormat="1" ht="21" customHeight="1" spans="1:11">
      <c r="A167" s="71" t="s">
        <v>66</v>
      </c>
      <c r="B167" s="72"/>
      <c r="C167" s="72"/>
      <c r="D167" s="72"/>
      <c r="E167" s="72"/>
      <c r="F167" s="72"/>
      <c r="G167" s="72"/>
      <c r="H167" s="72"/>
      <c r="I167" s="72"/>
      <c r="J167" s="72"/>
      <c r="K167" s="73"/>
    </row>
    <row r="168" ht="20.4" customHeight="1" spans="1:11">
      <c r="A168" s="27" t="s">
        <v>16</v>
      </c>
      <c r="B168" s="28"/>
      <c r="C168" s="28"/>
      <c r="D168" s="28"/>
      <c r="E168" s="29"/>
      <c r="F168" s="29"/>
      <c r="G168" s="29"/>
      <c r="H168" s="30" t="s">
        <v>51</v>
      </c>
      <c r="I168" s="30"/>
      <c r="J168" s="30"/>
      <c r="K168" s="31"/>
    </row>
    <row r="169" ht="20.4" customHeight="1" spans="1:11">
      <c r="A169" s="32">
        <f>List!F7</f>
        <v>0</v>
      </c>
      <c r="B169" s="33"/>
      <c r="C169" s="34"/>
      <c r="D169" s="33">
        <f>List!E7</f>
        <v>0</v>
      </c>
      <c r="E169" s="33"/>
      <c r="F169" s="35"/>
      <c r="G169" s="36"/>
      <c r="H169" s="36"/>
      <c r="I169" s="35"/>
      <c r="J169" s="37"/>
      <c r="K169" s="38"/>
    </row>
    <row r="170" ht="20.4" customHeight="1" spans="1:11">
      <c r="A170" s="39" t="s">
        <v>5</v>
      </c>
      <c r="B170" s="35"/>
      <c r="C170" s="35"/>
      <c r="D170" s="40" t="s">
        <v>4</v>
      </c>
      <c r="E170" s="35"/>
      <c r="F170" s="35"/>
      <c r="G170" s="35" t="s">
        <v>24</v>
      </c>
      <c r="H170" s="35"/>
      <c r="I170" s="35"/>
      <c r="J170" s="35" t="s">
        <v>52</v>
      </c>
      <c r="K170" s="41"/>
    </row>
    <row r="171" ht="25" customHeight="1" spans="1:11">
      <c r="A171" s="44" t="s">
        <v>32</v>
      </c>
      <c r="B171" s="45"/>
      <c r="C171" s="46" t="s">
        <v>33</v>
      </c>
      <c r="D171" s="45"/>
      <c r="E171" s="46" t="s">
        <v>34</v>
      </c>
      <c r="F171" s="47"/>
      <c r="G171" s="45"/>
      <c r="H171" s="48" t="s">
        <v>35</v>
      </c>
      <c r="I171" s="49" t="s">
        <v>53</v>
      </c>
      <c r="J171" s="46" t="s">
        <v>37</v>
      </c>
      <c r="K171" s="50"/>
    </row>
    <row r="172" ht="15" customHeight="1" spans="1:11">
      <c r="A172" s="51" t="str">
        <f>List!H7</f>
        <v/>
      </c>
      <c r="B172" s="52"/>
      <c r="C172" s="53">
        <v>600000</v>
      </c>
      <c r="D172" s="52"/>
      <c r="E172" s="53" t="str">
        <f>List!J7</f>
        <v>FRESH  GINGER</v>
      </c>
      <c r="F172" s="54"/>
      <c r="G172" s="52"/>
      <c r="H172" s="55" t="s">
        <v>54</v>
      </c>
      <c r="I172" s="55" t="s">
        <v>41</v>
      </c>
      <c r="J172" s="56" t="str">
        <f>List!K7</f>
        <v>Santao</v>
      </c>
      <c r="K172" s="57"/>
    </row>
    <row r="173" ht="20.4" customHeight="1" spans="1:11">
      <c r="A173" s="58" t="s">
        <v>55</v>
      </c>
      <c r="B173" s="59">
        <v>1</v>
      </c>
      <c r="C173" s="59">
        <v>2</v>
      </c>
      <c r="D173" s="59">
        <v>3</v>
      </c>
      <c r="E173" s="59">
        <v>4</v>
      </c>
      <c r="F173" s="59">
        <v>5</v>
      </c>
      <c r="G173" s="59">
        <v>6</v>
      </c>
      <c r="H173" s="59">
        <v>7</v>
      </c>
      <c r="I173" s="59">
        <v>8</v>
      </c>
      <c r="J173" s="59">
        <v>9</v>
      </c>
      <c r="K173" s="60">
        <v>10</v>
      </c>
    </row>
    <row r="174" ht="27.6" customHeight="1" spans="1:11">
      <c r="A174" s="61" t="s">
        <v>56</v>
      </c>
      <c r="B174" s="62"/>
      <c r="C174" s="62"/>
      <c r="D174" s="62"/>
      <c r="E174" s="62"/>
      <c r="F174" s="62"/>
      <c r="G174" s="62"/>
      <c r="H174" s="62"/>
      <c r="I174" s="62"/>
      <c r="J174" s="62"/>
      <c r="K174" s="63"/>
    </row>
    <row r="175" s="24" customFormat="1" ht="20.4" customHeight="1" spans="1:11">
      <c r="A175" s="61" t="s">
        <v>57</v>
      </c>
      <c r="B175" s="62"/>
      <c r="C175" s="62"/>
      <c r="D175" s="62"/>
      <c r="E175" s="62"/>
      <c r="F175" s="62"/>
      <c r="G175" s="62"/>
      <c r="H175" s="62"/>
      <c r="I175" s="62"/>
      <c r="J175" s="62"/>
      <c r="K175" s="63"/>
    </row>
    <row r="176" ht="4" customHeight="1" spans="1:11">
      <c r="A176" s="64"/>
      <c r="B176" s="35"/>
      <c r="C176" s="35"/>
      <c r="D176" s="35"/>
      <c r="E176" s="35"/>
      <c r="F176" s="35"/>
      <c r="G176" s="35"/>
      <c r="H176" s="35"/>
      <c r="I176" s="35"/>
      <c r="J176" s="35"/>
      <c r="K176" s="65"/>
    </row>
    <row r="177" ht="28" customHeight="1" spans="1:13">
      <c r="A177" s="66" t="s">
        <v>58</v>
      </c>
      <c r="B177" s="59">
        <v>1</v>
      </c>
      <c r="C177" s="59">
        <v>2</v>
      </c>
      <c r="D177" s="59">
        <v>3</v>
      </c>
      <c r="E177" s="59">
        <v>4</v>
      </c>
      <c r="F177" s="59">
        <v>5</v>
      </c>
      <c r="G177" s="59">
        <v>6</v>
      </c>
      <c r="H177" s="59">
        <v>7</v>
      </c>
      <c r="I177" s="59">
        <v>8</v>
      </c>
      <c r="J177" s="59">
        <v>9</v>
      </c>
      <c r="K177" s="60">
        <v>10</v>
      </c>
    </row>
    <row r="178" ht="20.4" customHeight="1" spans="1:13">
      <c r="A178" s="67" t="s">
        <v>59</v>
      </c>
      <c r="B178" s="59"/>
      <c r="C178" s="59"/>
      <c r="D178" s="59"/>
      <c r="E178" s="59"/>
      <c r="F178" s="59"/>
      <c r="G178" s="59"/>
      <c r="H178" s="59"/>
      <c r="I178" s="59"/>
      <c r="J178" s="59"/>
      <c r="K178" s="60"/>
    </row>
    <row r="179" ht="20.4" customHeight="1" spans="1:13">
      <c r="A179" s="61" t="s">
        <v>60</v>
      </c>
      <c r="B179" s="62"/>
      <c r="C179" s="62"/>
      <c r="D179" s="62"/>
      <c r="E179" s="62"/>
      <c r="F179" s="62"/>
      <c r="G179" s="62"/>
      <c r="H179" s="62"/>
      <c r="I179" s="62"/>
      <c r="J179" s="62"/>
      <c r="K179" s="63"/>
    </row>
    <row r="180" s="25" customFormat="1" ht="28.2" customHeight="1" spans="1:13">
      <c r="A180" s="64" t="s">
        <v>61</v>
      </c>
      <c r="B180" s="62"/>
      <c r="C180" s="62"/>
      <c r="D180" s="62"/>
      <c r="E180" s="62"/>
      <c r="F180" s="62"/>
      <c r="G180" s="62"/>
      <c r="H180" s="62"/>
      <c r="I180" s="62"/>
      <c r="J180" s="62"/>
      <c r="K180" s="63"/>
    </row>
    <row r="181" ht="20.4" customHeight="1" spans="1:13">
      <c r="A181" s="64" t="s">
        <v>62</v>
      </c>
      <c r="B181" s="62"/>
      <c r="C181" s="62"/>
      <c r="D181" s="62"/>
      <c r="E181" s="62"/>
      <c r="F181" s="62"/>
      <c r="G181" s="62"/>
      <c r="H181" s="62"/>
      <c r="I181" s="62"/>
      <c r="J181" s="62"/>
      <c r="K181" s="63"/>
    </row>
    <row r="182" ht="20.4" customHeight="1" spans="1:13">
      <c r="A182" s="61" t="s">
        <v>63</v>
      </c>
      <c r="B182" s="62"/>
      <c r="C182" s="62"/>
      <c r="D182" s="62"/>
      <c r="E182" s="62"/>
      <c r="F182" s="62"/>
      <c r="G182" s="62"/>
      <c r="H182" s="62"/>
      <c r="I182" s="62"/>
      <c r="J182" s="62"/>
      <c r="K182" s="63"/>
    </row>
    <row r="183" ht="20.4" customHeight="1" spans="1:13">
      <c r="A183" s="61" t="s">
        <v>64</v>
      </c>
      <c r="B183" s="62"/>
      <c r="C183" s="62"/>
      <c r="D183" s="62"/>
      <c r="E183" s="62"/>
      <c r="F183" s="62"/>
      <c r="G183" s="62"/>
      <c r="H183" s="62"/>
      <c r="I183" s="62"/>
      <c r="J183" s="62"/>
      <c r="K183" s="63"/>
    </row>
    <row r="184" ht="20.4" customHeight="1" spans="1:13">
      <c r="A184" s="61" t="s">
        <v>65</v>
      </c>
      <c r="B184" s="62"/>
      <c r="C184" s="62"/>
      <c r="D184" s="62"/>
      <c r="E184" s="62"/>
      <c r="F184" s="62"/>
      <c r="G184" s="62"/>
      <c r="H184" s="62"/>
      <c r="I184" s="62"/>
      <c r="J184" s="62"/>
      <c r="K184" s="63"/>
    </row>
    <row r="185" ht="20.4" customHeight="1" spans="1:13">
      <c r="A185" s="68" t="s">
        <v>66</v>
      </c>
      <c r="B185" s="62"/>
      <c r="C185" s="62"/>
      <c r="D185" s="62"/>
      <c r="E185" s="62"/>
      <c r="F185" s="62"/>
      <c r="G185" s="62"/>
      <c r="H185" s="62"/>
      <c r="I185" s="62"/>
      <c r="J185" s="62"/>
      <c r="K185" s="63"/>
    </row>
    <row r="186" ht="15" customHeight="1" spans="1:13">
      <c r="A186" s="44" t="s">
        <v>32</v>
      </c>
      <c r="B186" s="45"/>
      <c r="C186" s="46" t="s">
        <v>33</v>
      </c>
      <c r="D186" s="45"/>
      <c r="E186" s="46" t="s">
        <v>34</v>
      </c>
      <c r="F186" s="47"/>
      <c r="G186" s="45"/>
      <c r="H186" s="69" t="s">
        <v>35</v>
      </c>
      <c r="I186" s="49" t="s">
        <v>53</v>
      </c>
      <c r="J186" s="46" t="s">
        <v>37</v>
      </c>
      <c r="K186" s="50"/>
    </row>
    <row r="187" ht="14.4" spans="1:13">
      <c r="A187" s="51"/>
      <c r="B187" s="52"/>
      <c r="C187" s="53"/>
      <c r="D187" s="52"/>
      <c r="E187" s="53"/>
      <c r="F187" s="54"/>
      <c r="G187" s="52"/>
      <c r="H187" s="55"/>
      <c r="I187" s="55"/>
      <c r="J187" s="53"/>
      <c r="K187" s="70"/>
    </row>
    <row r="188" ht="19.8" customHeight="1" spans="1:13">
      <c r="A188" s="58" t="s">
        <v>55</v>
      </c>
      <c r="B188" s="59">
        <v>1</v>
      </c>
      <c r="C188" s="59">
        <v>2</v>
      </c>
      <c r="D188" s="59">
        <v>3</v>
      </c>
      <c r="E188" s="59">
        <v>4</v>
      </c>
      <c r="F188" s="59">
        <v>5</v>
      </c>
      <c r="G188" s="59">
        <v>6</v>
      </c>
      <c r="H188" s="59">
        <v>7</v>
      </c>
      <c r="I188" s="59">
        <v>8</v>
      </c>
      <c r="J188" s="59">
        <v>9</v>
      </c>
      <c r="K188" s="60">
        <v>10</v>
      </c>
    </row>
    <row r="189" ht="24" customHeight="1" spans="1:13">
      <c r="A189" s="61" t="s">
        <v>56</v>
      </c>
      <c r="B189" s="62"/>
      <c r="C189" s="62"/>
      <c r="D189" s="62"/>
      <c r="E189" s="62"/>
      <c r="F189" s="62"/>
      <c r="G189" s="62"/>
      <c r="H189" s="62"/>
      <c r="I189" s="62"/>
      <c r="J189" s="62"/>
      <c r="K189" s="63"/>
    </row>
    <row r="190" ht="16.2" customHeight="1" spans="1:13">
      <c r="A190" s="61" t="s">
        <v>57</v>
      </c>
      <c r="B190" s="62"/>
      <c r="C190" s="62"/>
      <c r="D190" s="62"/>
      <c r="E190" s="62"/>
      <c r="F190" s="62"/>
      <c r="G190" s="62"/>
      <c r="H190" s="62"/>
      <c r="I190" s="62"/>
      <c r="J190" s="62"/>
      <c r="K190" s="63"/>
      <c r="M190" s="43"/>
    </row>
    <row r="191" ht="6" customHeight="1" spans="1:13">
      <c r="A191" s="64"/>
      <c r="B191" s="35"/>
      <c r="C191" s="35"/>
      <c r="D191" s="35"/>
      <c r="E191" s="35"/>
      <c r="F191" s="35"/>
      <c r="G191" s="35"/>
      <c r="H191" s="35"/>
      <c r="I191" s="35"/>
      <c r="J191" s="35"/>
      <c r="K191" s="65"/>
    </row>
    <row r="192" s="24" customFormat="1" ht="30" customHeight="1" spans="1:13">
      <c r="A192" s="66" t="s">
        <v>58</v>
      </c>
      <c r="B192" s="59">
        <v>1</v>
      </c>
      <c r="C192" s="59">
        <v>2</v>
      </c>
      <c r="D192" s="59">
        <v>3</v>
      </c>
      <c r="E192" s="59">
        <v>4</v>
      </c>
      <c r="F192" s="59">
        <v>5</v>
      </c>
      <c r="G192" s="59">
        <v>6</v>
      </c>
      <c r="H192" s="59">
        <v>7</v>
      </c>
      <c r="I192" s="59">
        <v>8</v>
      </c>
      <c r="J192" s="59">
        <v>9</v>
      </c>
      <c r="K192" s="60">
        <v>10</v>
      </c>
    </row>
    <row r="193" ht="20.4" customHeight="1" spans="1:11">
      <c r="A193" s="67" t="s">
        <v>59</v>
      </c>
      <c r="B193" s="59"/>
      <c r="C193" s="59"/>
      <c r="D193" s="59"/>
      <c r="E193" s="59"/>
      <c r="F193" s="59"/>
      <c r="G193" s="59"/>
      <c r="H193" s="59"/>
      <c r="I193" s="59"/>
      <c r="J193" s="59"/>
      <c r="K193" s="60"/>
    </row>
    <row r="194" ht="20.4" customHeight="1" spans="1:11">
      <c r="A194" s="61" t="s">
        <v>60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3"/>
    </row>
    <row r="195" ht="20.4" customHeight="1" spans="1:11">
      <c r="A195" s="64" t="s">
        <v>61</v>
      </c>
      <c r="B195" s="62"/>
      <c r="C195" s="62"/>
      <c r="D195" s="62"/>
      <c r="E195" s="62"/>
      <c r="F195" s="62"/>
      <c r="G195" s="62"/>
      <c r="H195" s="62"/>
      <c r="I195" s="62"/>
      <c r="J195" s="62"/>
      <c r="K195" s="63"/>
    </row>
    <row r="196" ht="20.4" customHeight="1" spans="1:11">
      <c r="A196" s="64" t="s">
        <v>62</v>
      </c>
      <c r="B196" s="62"/>
      <c r="C196" s="62"/>
      <c r="D196" s="62"/>
      <c r="E196" s="62"/>
      <c r="F196" s="62"/>
      <c r="G196" s="62"/>
      <c r="H196" s="62"/>
      <c r="I196" s="62"/>
      <c r="J196" s="62"/>
      <c r="K196" s="63"/>
    </row>
    <row r="197" s="25" customFormat="1" ht="27" customHeight="1" spans="1:11">
      <c r="A197" s="61" t="s">
        <v>63</v>
      </c>
      <c r="B197" s="62"/>
      <c r="C197" s="62"/>
      <c r="D197" s="62"/>
      <c r="E197" s="62"/>
      <c r="F197" s="62"/>
      <c r="G197" s="62"/>
      <c r="H197" s="62"/>
      <c r="I197" s="62"/>
      <c r="J197" s="62"/>
      <c r="K197" s="63"/>
    </row>
    <row r="198" ht="20.4" customHeight="1" spans="1:11">
      <c r="A198" s="61" t="s">
        <v>64</v>
      </c>
      <c r="B198" s="62"/>
      <c r="C198" s="62"/>
      <c r="D198" s="62"/>
      <c r="E198" s="62"/>
      <c r="F198" s="62"/>
      <c r="G198" s="62"/>
      <c r="H198" s="62"/>
      <c r="I198" s="62"/>
      <c r="J198" s="62"/>
      <c r="K198" s="63"/>
    </row>
    <row r="199" ht="20.4" customHeight="1" spans="1:11">
      <c r="A199" s="61" t="s">
        <v>65</v>
      </c>
      <c r="B199" s="62"/>
      <c r="C199" s="62"/>
      <c r="D199" s="62"/>
      <c r="E199" s="62"/>
      <c r="F199" s="62"/>
      <c r="G199" s="62"/>
      <c r="H199" s="62"/>
      <c r="I199" s="62"/>
      <c r="J199" s="62"/>
      <c r="K199" s="63"/>
    </row>
    <row r="200" ht="20.4" customHeight="1" spans="1:11">
      <c r="A200" s="71" t="s">
        <v>66</v>
      </c>
      <c r="B200" s="72"/>
      <c r="C200" s="72"/>
      <c r="D200" s="72"/>
      <c r="E200" s="72"/>
      <c r="F200" s="72"/>
      <c r="G200" s="72"/>
      <c r="H200" s="72"/>
      <c r="I200" s="72"/>
      <c r="J200" s="72"/>
      <c r="K200" s="73"/>
    </row>
    <row r="201" ht="20.4" customHeight="1" spans="1:11">
      <c r="A201" s="27" t="s">
        <v>16</v>
      </c>
      <c r="B201" s="28"/>
      <c r="C201" s="28"/>
      <c r="D201" s="28"/>
      <c r="E201" s="29"/>
      <c r="F201" s="29"/>
      <c r="G201" s="29"/>
      <c r="H201" s="30" t="s">
        <v>51</v>
      </c>
      <c r="I201" s="30"/>
      <c r="J201" s="30"/>
      <c r="K201" s="31"/>
    </row>
    <row r="202" ht="20.4" customHeight="1" spans="1:11">
      <c r="A202" s="32">
        <f>List!F8</f>
        <v>0</v>
      </c>
      <c r="B202" s="33"/>
      <c r="C202" s="34"/>
      <c r="D202" s="33">
        <f>List!E8</f>
        <v>0</v>
      </c>
      <c r="E202" s="33"/>
      <c r="F202" s="35"/>
      <c r="G202" s="36"/>
      <c r="H202" s="36"/>
      <c r="I202" s="35"/>
      <c r="J202" s="37"/>
      <c r="K202" s="38"/>
    </row>
    <row r="203" ht="20.4" customHeight="1" spans="1:11">
      <c r="A203" s="39" t="s">
        <v>5</v>
      </c>
      <c r="B203" s="35"/>
      <c r="C203" s="35"/>
      <c r="D203" s="74" t="s">
        <v>4</v>
      </c>
      <c r="E203" s="35"/>
      <c r="F203" s="35"/>
      <c r="G203" s="35" t="s">
        <v>24</v>
      </c>
      <c r="H203" s="35"/>
      <c r="I203" s="35"/>
      <c r="J203" s="35" t="s">
        <v>52</v>
      </c>
      <c r="K203" s="41"/>
    </row>
    <row r="204" ht="27.6" customHeight="1" spans="1:11">
      <c r="A204" s="44" t="s">
        <v>32</v>
      </c>
      <c r="B204" s="45"/>
      <c r="C204" s="46" t="s">
        <v>33</v>
      </c>
      <c r="D204" s="45"/>
      <c r="E204" s="46" t="s">
        <v>34</v>
      </c>
      <c r="F204" s="47"/>
      <c r="G204" s="45"/>
      <c r="H204" s="48" t="s">
        <v>35</v>
      </c>
      <c r="I204" s="49" t="s">
        <v>53</v>
      </c>
      <c r="J204" s="46" t="s">
        <v>37</v>
      </c>
      <c r="K204" s="50"/>
    </row>
    <row r="205" s="24" customFormat="1" ht="16" customHeight="1" spans="1:11">
      <c r="A205" s="51" t="str">
        <f>List!H8</f>
        <v/>
      </c>
      <c r="B205" s="52"/>
      <c r="C205" s="53">
        <v>600000</v>
      </c>
      <c r="D205" s="52"/>
      <c r="E205" s="53" t="str">
        <f>List!J8</f>
        <v>FRESH  GINGER</v>
      </c>
      <c r="F205" s="54"/>
      <c r="G205" s="52"/>
      <c r="H205" s="55" t="s">
        <v>54</v>
      </c>
      <c r="I205" s="55" t="s">
        <v>41</v>
      </c>
      <c r="J205" s="56" t="str">
        <f>List!K8</f>
        <v>Santao</v>
      </c>
      <c r="K205" s="57"/>
    </row>
    <row r="206" ht="20.4" customHeight="1" spans="1:11">
      <c r="A206" s="58" t="s">
        <v>55</v>
      </c>
      <c r="B206" s="59">
        <v>1</v>
      </c>
      <c r="C206" s="59">
        <v>2</v>
      </c>
      <c r="D206" s="59">
        <v>3</v>
      </c>
      <c r="E206" s="59">
        <v>4</v>
      </c>
      <c r="F206" s="59">
        <v>5</v>
      </c>
      <c r="G206" s="59">
        <v>6</v>
      </c>
      <c r="H206" s="59">
        <v>7</v>
      </c>
      <c r="I206" s="59">
        <v>8</v>
      </c>
      <c r="J206" s="59">
        <v>9</v>
      </c>
      <c r="K206" s="60">
        <v>10</v>
      </c>
    </row>
    <row r="207" ht="20.4" customHeight="1" spans="1:11">
      <c r="A207" s="61" t="s">
        <v>56</v>
      </c>
      <c r="B207" s="62"/>
      <c r="C207" s="62"/>
      <c r="D207" s="62"/>
      <c r="E207" s="62"/>
      <c r="F207" s="62"/>
      <c r="G207" s="62"/>
      <c r="H207" s="62"/>
      <c r="I207" s="62"/>
      <c r="J207" s="62"/>
      <c r="K207" s="63"/>
    </row>
    <row r="208" ht="20.4" customHeight="1" spans="1:11">
      <c r="A208" s="61" t="s">
        <v>57</v>
      </c>
      <c r="B208" s="62"/>
      <c r="C208" s="62"/>
      <c r="D208" s="62"/>
      <c r="E208" s="62"/>
      <c r="F208" s="62"/>
      <c r="G208" s="62"/>
      <c r="H208" s="62"/>
      <c r="I208" s="62"/>
      <c r="J208" s="62"/>
      <c r="K208" s="63"/>
    </row>
    <row r="209" ht="5" customHeight="1" spans="1:13">
      <c r="A209" s="64"/>
      <c r="B209" s="35"/>
      <c r="C209" s="35"/>
      <c r="D209" s="35"/>
      <c r="E209" s="35"/>
      <c r="F209" s="35"/>
      <c r="G209" s="35"/>
      <c r="H209" s="35"/>
      <c r="I209" s="35"/>
      <c r="J209" s="35"/>
      <c r="K209" s="65"/>
    </row>
    <row r="210" s="25" customFormat="1" ht="28.2" customHeight="1" spans="1:13">
      <c r="A210" s="66" t="s">
        <v>58</v>
      </c>
      <c r="B210" s="59">
        <v>1</v>
      </c>
      <c r="C210" s="59">
        <v>2</v>
      </c>
      <c r="D210" s="59">
        <v>3</v>
      </c>
      <c r="E210" s="59">
        <v>4</v>
      </c>
      <c r="F210" s="59">
        <v>5</v>
      </c>
      <c r="G210" s="59">
        <v>6</v>
      </c>
      <c r="H210" s="59">
        <v>7</v>
      </c>
      <c r="I210" s="59">
        <v>8</v>
      </c>
      <c r="J210" s="59">
        <v>9</v>
      </c>
      <c r="K210" s="60">
        <v>10</v>
      </c>
    </row>
    <row r="211" ht="20.4" customHeight="1" spans="1:13">
      <c r="A211" s="67" t="s">
        <v>59</v>
      </c>
      <c r="B211" s="59"/>
      <c r="C211" s="59"/>
      <c r="D211" s="59"/>
      <c r="E211" s="59"/>
      <c r="F211" s="59"/>
      <c r="G211" s="59"/>
      <c r="H211" s="59"/>
      <c r="I211" s="59"/>
      <c r="J211" s="59"/>
      <c r="K211" s="60"/>
    </row>
    <row r="212" ht="20.4" customHeight="1" spans="1:13">
      <c r="A212" s="61" t="s">
        <v>60</v>
      </c>
      <c r="B212" s="62"/>
      <c r="C212" s="62"/>
      <c r="D212" s="62"/>
      <c r="E212" s="62"/>
      <c r="F212" s="62"/>
      <c r="G212" s="62"/>
      <c r="H212" s="62"/>
      <c r="I212" s="62"/>
      <c r="J212" s="62"/>
      <c r="K212" s="63"/>
    </row>
    <row r="213" ht="20.4" customHeight="1" spans="1:13">
      <c r="A213" s="64" t="s">
        <v>61</v>
      </c>
      <c r="B213" s="62"/>
      <c r="C213" s="62"/>
      <c r="D213" s="62"/>
      <c r="E213" s="62"/>
      <c r="F213" s="62"/>
      <c r="G213" s="62"/>
      <c r="H213" s="62"/>
      <c r="I213" s="62"/>
      <c r="J213" s="62"/>
      <c r="K213" s="63"/>
    </row>
    <row r="214" ht="20.4" customHeight="1" spans="1:13">
      <c r="A214" s="64" t="s">
        <v>62</v>
      </c>
      <c r="B214" s="62"/>
      <c r="C214" s="62"/>
      <c r="D214" s="62"/>
      <c r="E214" s="62"/>
      <c r="F214" s="62"/>
      <c r="G214" s="62"/>
      <c r="H214" s="62"/>
      <c r="I214" s="62"/>
      <c r="J214" s="62"/>
      <c r="K214" s="63"/>
    </row>
    <row r="215" ht="20.4" customHeight="1" spans="1:13">
      <c r="A215" s="61" t="s">
        <v>63</v>
      </c>
      <c r="B215" s="62"/>
      <c r="C215" s="62"/>
      <c r="D215" s="62"/>
      <c r="E215" s="62"/>
      <c r="F215" s="62"/>
      <c r="G215" s="62"/>
      <c r="H215" s="62"/>
      <c r="I215" s="62"/>
      <c r="J215" s="62"/>
      <c r="K215" s="63"/>
    </row>
    <row r="216" ht="25.2" customHeight="1" spans="1:13">
      <c r="A216" s="61" t="s">
        <v>64</v>
      </c>
      <c r="B216" s="62"/>
      <c r="C216" s="62"/>
      <c r="D216" s="62"/>
      <c r="E216" s="62"/>
      <c r="F216" s="62"/>
      <c r="G216" s="62"/>
      <c r="H216" s="62"/>
      <c r="I216" s="62"/>
      <c r="J216" s="62"/>
      <c r="K216" s="63"/>
    </row>
    <row r="217" ht="14.4" spans="1:13">
      <c r="A217" s="61" t="s">
        <v>65</v>
      </c>
      <c r="B217" s="62"/>
      <c r="C217" s="62"/>
      <c r="D217" s="62"/>
      <c r="E217" s="62"/>
      <c r="F217" s="62"/>
      <c r="G217" s="62"/>
      <c r="H217" s="62"/>
      <c r="I217" s="62"/>
      <c r="J217" s="62"/>
      <c r="K217" s="63"/>
    </row>
    <row r="218" ht="19.8" customHeight="1" spans="1:13">
      <c r="A218" s="68" t="s">
        <v>66</v>
      </c>
      <c r="B218" s="62"/>
      <c r="C218" s="62"/>
      <c r="D218" s="62"/>
      <c r="E218" s="62"/>
      <c r="F218" s="62"/>
      <c r="G218" s="62"/>
      <c r="H218" s="62"/>
      <c r="I218" s="62"/>
      <c r="J218" s="62"/>
      <c r="K218" s="63"/>
    </row>
    <row r="219" ht="19" customHeight="1" spans="1:13">
      <c r="A219" s="44" t="s">
        <v>32</v>
      </c>
      <c r="B219" s="45"/>
      <c r="C219" s="46" t="s">
        <v>33</v>
      </c>
      <c r="D219" s="45"/>
      <c r="E219" s="46" t="s">
        <v>34</v>
      </c>
      <c r="F219" s="47"/>
      <c r="G219" s="45"/>
      <c r="H219" s="69" t="s">
        <v>35</v>
      </c>
      <c r="I219" s="49" t="s">
        <v>53</v>
      </c>
      <c r="J219" s="46" t="s">
        <v>37</v>
      </c>
      <c r="K219" s="50"/>
    </row>
    <row r="220" ht="18" customHeight="1" spans="1:13">
      <c r="A220" s="51"/>
      <c r="B220" s="52"/>
      <c r="C220" s="53"/>
      <c r="D220" s="52"/>
      <c r="E220" s="53"/>
      <c r="F220" s="54"/>
      <c r="G220" s="52"/>
      <c r="H220" s="55"/>
      <c r="I220" s="55"/>
      <c r="J220" s="53"/>
      <c r="K220" s="70"/>
      <c r="M220" s="43"/>
    </row>
    <row r="221" ht="21" customHeight="1" spans="1:13">
      <c r="A221" s="58" t="s">
        <v>55</v>
      </c>
      <c r="B221" s="59">
        <v>1</v>
      </c>
      <c r="C221" s="59">
        <v>2</v>
      </c>
      <c r="D221" s="59">
        <v>3</v>
      </c>
      <c r="E221" s="59">
        <v>4</v>
      </c>
      <c r="F221" s="59">
        <v>5</v>
      </c>
      <c r="G221" s="59">
        <v>6</v>
      </c>
      <c r="H221" s="59">
        <v>7</v>
      </c>
      <c r="I221" s="59">
        <v>8</v>
      </c>
      <c r="J221" s="59">
        <v>9</v>
      </c>
      <c r="K221" s="60">
        <v>10</v>
      </c>
    </row>
    <row r="222" s="24" customFormat="1" ht="30" customHeight="1" spans="1:13">
      <c r="A222" s="61" t="s">
        <v>56</v>
      </c>
      <c r="B222" s="62"/>
      <c r="C222" s="62"/>
      <c r="D222" s="62"/>
      <c r="E222" s="62"/>
      <c r="F222" s="62"/>
      <c r="G222" s="62"/>
      <c r="H222" s="62"/>
      <c r="I222" s="62"/>
      <c r="J222" s="62"/>
      <c r="K222" s="63"/>
    </row>
    <row r="223" ht="20.4" customHeight="1" spans="1:13">
      <c r="A223" s="61" t="s">
        <v>57</v>
      </c>
      <c r="B223" s="62"/>
      <c r="C223" s="62"/>
      <c r="D223" s="62"/>
      <c r="E223" s="62"/>
      <c r="F223" s="62"/>
      <c r="G223" s="62"/>
      <c r="H223" s="62"/>
      <c r="I223" s="62"/>
      <c r="J223" s="62"/>
      <c r="K223" s="63"/>
    </row>
    <row r="224" ht="7" customHeight="1" spans="1:13">
      <c r="A224" s="64"/>
      <c r="B224" s="35"/>
      <c r="C224" s="35"/>
      <c r="D224" s="35"/>
      <c r="E224" s="35"/>
      <c r="F224" s="35"/>
      <c r="G224" s="35"/>
      <c r="H224" s="35"/>
      <c r="I224" s="35"/>
      <c r="J224" s="35"/>
      <c r="K224" s="65"/>
    </row>
    <row r="225" ht="28" customHeight="1" spans="1:11">
      <c r="A225" s="66" t="s">
        <v>58</v>
      </c>
      <c r="B225" s="59">
        <v>1</v>
      </c>
      <c r="C225" s="59">
        <v>2</v>
      </c>
      <c r="D225" s="59">
        <v>3</v>
      </c>
      <c r="E225" s="59">
        <v>4</v>
      </c>
      <c r="F225" s="59">
        <v>5</v>
      </c>
      <c r="G225" s="59">
        <v>6</v>
      </c>
      <c r="H225" s="59">
        <v>7</v>
      </c>
      <c r="I225" s="59">
        <v>8</v>
      </c>
      <c r="J225" s="59">
        <v>9</v>
      </c>
      <c r="K225" s="60">
        <v>10</v>
      </c>
    </row>
    <row r="226" ht="20.4" customHeight="1" spans="1:11">
      <c r="A226" s="67" t="s">
        <v>59</v>
      </c>
      <c r="B226" s="59"/>
      <c r="C226" s="59"/>
      <c r="D226" s="59"/>
      <c r="E226" s="59"/>
      <c r="F226" s="59"/>
      <c r="G226" s="59"/>
      <c r="H226" s="59"/>
      <c r="I226" s="59"/>
      <c r="J226" s="59"/>
      <c r="K226" s="60"/>
    </row>
    <row r="227" s="25" customFormat="1" ht="27" customHeight="1" spans="1:11">
      <c r="A227" s="61" t="s">
        <v>60</v>
      </c>
      <c r="B227" s="62"/>
      <c r="C227" s="62"/>
      <c r="D227" s="62"/>
      <c r="E227" s="62"/>
      <c r="F227" s="62"/>
      <c r="G227" s="62"/>
      <c r="H227" s="62"/>
      <c r="I227" s="62"/>
      <c r="J227" s="62"/>
      <c r="K227" s="63"/>
    </row>
    <row r="228" ht="20.4" customHeight="1" spans="1:11">
      <c r="A228" s="64" t="s">
        <v>61</v>
      </c>
      <c r="B228" s="62"/>
      <c r="C228" s="62"/>
      <c r="D228" s="62"/>
      <c r="E228" s="62"/>
      <c r="F228" s="62"/>
      <c r="G228" s="62"/>
      <c r="H228" s="62"/>
      <c r="I228" s="62"/>
      <c r="J228" s="62"/>
      <c r="K228" s="63"/>
    </row>
    <row r="229" ht="20.4" customHeight="1" spans="1:11">
      <c r="A229" s="64" t="s">
        <v>62</v>
      </c>
      <c r="B229" s="62"/>
      <c r="C229" s="62"/>
      <c r="D229" s="62"/>
      <c r="E229" s="62"/>
      <c r="F229" s="62"/>
      <c r="G229" s="62"/>
      <c r="H229" s="62"/>
      <c r="I229" s="62"/>
      <c r="J229" s="62"/>
      <c r="K229" s="63"/>
    </row>
    <row r="230" ht="20.4" customHeight="1" spans="1:11">
      <c r="A230" s="61" t="s">
        <v>63</v>
      </c>
      <c r="B230" s="62"/>
      <c r="C230" s="62"/>
      <c r="D230" s="62"/>
      <c r="E230" s="62"/>
      <c r="F230" s="62"/>
      <c r="G230" s="62"/>
      <c r="H230" s="62"/>
      <c r="I230" s="62"/>
      <c r="J230" s="62"/>
      <c r="K230" s="63"/>
    </row>
    <row r="231" ht="20.4" customHeight="1" spans="1:11">
      <c r="A231" s="61" t="s">
        <v>64</v>
      </c>
      <c r="B231" s="62"/>
      <c r="C231" s="62"/>
      <c r="D231" s="62"/>
      <c r="E231" s="62"/>
      <c r="F231" s="62"/>
      <c r="G231" s="62"/>
      <c r="H231" s="62"/>
      <c r="I231" s="62"/>
      <c r="J231" s="62"/>
      <c r="K231" s="63"/>
    </row>
    <row r="232" ht="20.4" customHeight="1" spans="1:11">
      <c r="A232" s="61" t="s">
        <v>65</v>
      </c>
      <c r="B232" s="62"/>
      <c r="C232" s="62"/>
      <c r="D232" s="62"/>
      <c r="E232" s="62"/>
      <c r="F232" s="62"/>
      <c r="G232" s="62"/>
      <c r="H232" s="62"/>
      <c r="I232" s="62"/>
      <c r="J232" s="62"/>
      <c r="K232" s="63"/>
    </row>
    <row r="233" ht="20.4" customHeight="1" spans="1:11">
      <c r="A233" s="71" t="s">
        <v>66</v>
      </c>
      <c r="B233" s="72"/>
      <c r="C233" s="72"/>
      <c r="D233" s="72"/>
      <c r="E233" s="72"/>
      <c r="F233" s="72"/>
      <c r="G233" s="72"/>
      <c r="H233" s="72"/>
      <c r="I233" s="72"/>
      <c r="J233" s="72"/>
      <c r="K233" s="73"/>
    </row>
    <row r="234" ht="20.4" customHeight="1" spans="1:11">
      <c r="A234" s="27" t="s">
        <v>16</v>
      </c>
      <c r="B234" s="28"/>
      <c r="C234" s="28"/>
      <c r="D234" s="28"/>
      <c r="E234" s="29"/>
      <c r="F234" s="29"/>
      <c r="G234" s="29"/>
      <c r="H234" s="30" t="s">
        <v>51</v>
      </c>
      <c r="I234" s="30"/>
      <c r="J234" s="30"/>
      <c r="K234" s="31"/>
    </row>
    <row r="235" ht="27.6" customHeight="1" spans="1:11">
      <c r="A235" s="32">
        <f>List!F9</f>
        <v>0</v>
      </c>
      <c r="B235" s="33"/>
      <c r="C235" s="34"/>
      <c r="D235" s="33">
        <f>List!E9</f>
        <v>0</v>
      </c>
      <c r="E235" s="33"/>
      <c r="F235" s="35"/>
      <c r="G235" s="36"/>
      <c r="H235" s="36"/>
      <c r="I235" s="35"/>
      <c r="J235" s="37"/>
      <c r="K235" s="38"/>
    </row>
    <row r="236" s="24" customFormat="1" ht="20.4" customHeight="1" spans="1:11">
      <c r="A236" s="39" t="s">
        <v>5</v>
      </c>
      <c r="B236" s="35"/>
      <c r="C236" s="35"/>
      <c r="D236" s="74" t="s">
        <v>4</v>
      </c>
      <c r="E236" s="35"/>
      <c r="F236" s="35"/>
      <c r="G236" s="35" t="s">
        <v>24</v>
      </c>
      <c r="H236" s="35"/>
      <c r="I236" s="35"/>
      <c r="J236" s="35" t="s">
        <v>52</v>
      </c>
      <c r="K236" s="41"/>
    </row>
    <row r="237" ht="20.4" customHeight="1" spans="1:11">
      <c r="A237" s="44" t="s">
        <v>32</v>
      </c>
      <c r="B237" s="45"/>
      <c r="C237" s="46" t="s">
        <v>33</v>
      </c>
      <c r="D237" s="45"/>
      <c r="E237" s="46" t="s">
        <v>34</v>
      </c>
      <c r="F237" s="47"/>
      <c r="G237" s="45"/>
      <c r="H237" s="69" t="s">
        <v>35</v>
      </c>
      <c r="I237" s="49" t="s">
        <v>53</v>
      </c>
      <c r="J237" s="46" t="s">
        <v>37</v>
      </c>
      <c r="K237" s="50"/>
    </row>
    <row r="238" ht="20.4" customHeight="1" spans="1:11">
      <c r="A238" s="51" t="str">
        <f>List!H9</f>
        <v/>
      </c>
      <c r="B238" s="52"/>
      <c r="C238" s="53">
        <v>600000</v>
      </c>
      <c r="D238" s="52"/>
      <c r="E238" s="53" t="str">
        <f>List!J9</f>
        <v>FRESH  GINGER</v>
      </c>
      <c r="F238" s="54"/>
      <c r="G238" s="52"/>
      <c r="H238" s="55" t="s">
        <v>54</v>
      </c>
      <c r="I238" s="55" t="s">
        <v>41</v>
      </c>
      <c r="J238" s="56" t="str">
        <f>List!K9</f>
        <v>Santao</v>
      </c>
      <c r="K238" s="57"/>
    </row>
    <row r="239" ht="20.4" customHeight="1" spans="1:11">
      <c r="A239" s="58" t="s">
        <v>55</v>
      </c>
      <c r="B239" s="59">
        <v>1</v>
      </c>
      <c r="C239" s="59">
        <v>2</v>
      </c>
      <c r="D239" s="59">
        <v>3</v>
      </c>
      <c r="E239" s="59">
        <v>4</v>
      </c>
      <c r="F239" s="59">
        <v>5</v>
      </c>
      <c r="G239" s="59">
        <v>6</v>
      </c>
      <c r="H239" s="59">
        <v>7</v>
      </c>
      <c r="I239" s="59">
        <v>8</v>
      </c>
      <c r="J239" s="59">
        <v>9</v>
      </c>
      <c r="K239" s="60">
        <v>10</v>
      </c>
    </row>
    <row r="240" s="25" customFormat="1" ht="20" customHeight="1" spans="1:11">
      <c r="A240" s="61" t="s">
        <v>56</v>
      </c>
      <c r="B240" s="62"/>
      <c r="C240" s="62"/>
      <c r="D240" s="62"/>
      <c r="E240" s="62"/>
      <c r="F240" s="62"/>
      <c r="G240" s="62"/>
      <c r="H240" s="62"/>
      <c r="I240" s="62"/>
      <c r="J240" s="62"/>
      <c r="K240" s="63"/>
    </row>
    <row r="241" ht="20.4" customHeight="1" spans="1:13">
      <c r="A241" s="61" t="s">
        <v>57</v>
      </c>
      <c r="B241" s="62"/>
      <c r="C241" s="62"/>
      <c r="D241" s="62"/>
      <c r="E241" s="62"/>
      <c r="F241" s="62"/>
      <c r="G241" s="62"/>
      <c r="H241" s="62"/>
      <c r="I241" s="62"/>
      <c r="J241" s="62"/>
      <c r="K241" s="63"/>
    </row>
    <row r="242" ht="4" customHeight="1" spans="1:13">
      <c r="A242" s="64"/>
      <c r="B242" s="35"/>
      <c r="C242" s="35"/>
      <c r="D242" s="35"/>
      <c r="E242" s="35"/>
      <c r="F242" s="35"/>
      <c r="G242" s="35"/>
      <c r="H242" s="35"/>
      <c r="I242" s="35"/>
      <c r="J242" s="35"/>
      <c r="K242" s="65"/>
    </row>
    <row r="243" ht="36" customHeight="1" spans="1:13">
      <c r="A243" s="66" t="s">
        <v>58</v>
      </c>
      <c r="B243" s="59">
        <v>1</v>
      </c>
      <c r="C243" s="59">
        <v>2</v>
      </c>
      <c r="D243" s="59">
        <v>3</v>
      </c>
      <c r="E243" s="59">
        <v>4</v>
      </c>
      <c r="F243" s="59">
        <v>5</v>
      </c>
      <c r="G243" s="59">
        <v>6</v>
      </c>
      <c r="H243" s="59">
        <v>7</v>
      </c>
      <c r="I243" s="59">
        <v>8</v>
      </c>
      <c r="J243" s="59">
        <v>9</v>
      </c>
      <c r="K243" s="60">
        <v>10</v>
      </c>
    </row>
    <row r="244" ht="20" customHeight="1" spans="1:13">
      <c r="A244" s="67" t="s">
        <v>59</v>
      </c>
      <c r="B244" s="59"/>
      <c r="C244" s="59"/>
      <c r="D244" s="59"/>
      <c r="E244" s="59"/>
      <c r="F244" s="59"/>
      <c r="G244" s="59"/>
      <c r="H244" s="59"/>
      <c r="I244" s="59"/>
      <c r="J244" s="59"/>
      <c r="K244" s="60"/>
    </row>
    <row r="245" ht="20" customHeight="1" spans="1:13">
      <c r="A245" s="61" t="s">
        <v>60</v>
      </c>
      <c r="B245" s="62"/>
      <c r="C245" s="62"/>
      <c r="D245" s="62"/>
      <c r="E245" s="62"/>
      <c r="F245" s="62"/>
      <c r="G245" s="62"/>
      <c r="H245" s="62"/>
      <c r="I245" s="62"/>
      <c r="J245" s="62"/>
      <c r="K245" s="63"/>
    </row>
    <row r="246" ht="20" customHeight="1" spans="1:13">
      <c r="A246" s="64" t="s">
        <v>61</v>
      </c>
      <c r="B246" s="62"/>
      <c r="C246" s="62"/>
      <c r="D246" s="62"/>
      <c r="E246" s="62"/>
      <c r="F246" s="62"/>
      <c r="G246" s="62"/>
      <c r="H246" s="62"/>
      <c r="I246" s="62"/>
      <c r="J246" s="62"/>
      <c r="K246" s="63"/>
    </row>
    <row r="247" ht="20" customHeight="1" spans="1:13">
      <c r="A247" s="64" t="s">
        <v>62</v>
      </c>
      <c r="B247" s="62"/>
      <c r="C247" s="62"/>
      <c r="D247" s="62"/>
      <c r="E247" s="62"/>
      <c r="F247" s="62"/>
      <c r="G247" s="62"/>
      <c r="H247" s="62"/>
      <c r="I247" s="62"/>
      <c r="J247" s="62"/>
      <c r="K247" s="63"/>
    </row>
    <row r="248" ht="20" customHeight="1" spans="1:13">
      <c r="A248" s="61" t="s">
        <v>63</v>
      </c>
      <c r="B248" s="62"/>
      <c r="C248" s="62"/>
      <c r="D248" s="62"/>
      <c r="E248" s="62"/>
      <c r="F248" s="62"/>
      <c r="G248" s="62"/>
      <c r="H248" s="62"/>
      <c r="I248" s="62"/>
      <c r="J248" s="62"/>
      <c r="K248" s="63"/>
    </row>
    <row r="249" ht="20" customHeight="1" spans="1:13">
      <c r="A249" s="61" t="s">
        <v>64</v>
      </c>
      <c r="B249" s="62"/>
      <c r="C249" s="62"/>
      <c r="D249" s="62"/>
      <c r="E249" s="62"/>
      <c r="F249" s="62"/>
      <c r="G249" s="62"/>
      <c r="H249" s="62"/>
      <c r="I249" s="62"/>
      <c r="J249" s="62"/>
      <c r="K249" s="63"/>
    </row>
    <row r="250" ht="20" customHeight="1" spans="1:13">
      <c r="A250" s="61" t="s">
        <v>65</v>
      </c>
      <c r="B250" s="62"/>
      <c r="C250" s="62"/>
      <c r="D250" s="62"/>
      <c r="E250" s="62"/>
      <c r="F250" s="62"/>
      <c r="G250" s="62"/>
      <c r="H250" s="62"/>
      <c r="I250" s="62"/>
      <c r="J250" s="62"/>
      <c r="K250" s="63"/>
      <c r="M250" s="43"/>
    </row>
    <row r="251" ht="20" customHeight="1" spans="1:13">
      <c r="A251" s="68" t="s">
        <v>66</v>
      </c>
      <c r="B251" s="62"/>
      <c r="C251" s="62"/>
      <c r="D251" s="62"/>
      <c r="E251" s="62"/>
      <c r="F251" s="62"/>
      <c r="G251" s="62"/>
      <c r="H251" s="62"/>
      <c r="I251" s="62"/>
      <c r="J251" s="62"/>
      <c r="K251" s="63"/>
    </row>
    <row r="252" s="24" customFormat="1" ht="16" customHeight="1" spans="1:13">
      <c r="A252" s="44" t="s">
        <v>32</v>
      </c>
      <c r="B252" s="45"/>
      <c r="C252" s="46" t="s">
        <v>33</v>
      </c>
      <c r="D252" s="45"/>
      <c r="E252" s="46" t="s">
        <v>34</v>
      </c>
      <c r="F252" s="47"/>
      <c r="G252" s="45"/>
      <c r="H252" s="69" t="s">
        <v>35</v>
      </c>
      <c r="I252" s="49" t="s">
        <v>53</v>
      </c>
      <c r="J252" s="46" t="s">
        <v>37</v>
      </c>
      <c r="K252" s="50"/>
    </row>
    <row r="253" ht="15" customHeight="1" spans="1:13">
      <c r="A253" s="51"/>
      <c r="B253" s="52"/>
      <c r="C253" s="53"/>
      <c r="D253" s="52"/>
      <c r="E253" s="53"/>
      <c r="F253" s="54"/>
      <c r="G253" s="52"/>
      <c r="H253" s="55"/>
      <c r="I253" s="55"/>
      <c r="J253" s="53"/>
      <c r="K253" s="70"/>
    </row>
    <row r="254" ht="20.4" customHeight="1" spans="1:13">
      <c r="A254" s="58" t="s">
        <v>55</v>
      </c>
      <c r="B254" s="59">
        <v>1</v>
      </c>
      <c r="C254" s="59">
        <v>2</v>
      </c>
      <c r="D254" s="59">
        <v>3</v>
      </c>
      <c r="E254" s="59">
        <v>4</v>
      </c>
      <c r="F254" s="59">
        <v>5</v>
      </c>
      <c r="G254" s="59">
        <v>6</v>
      </c>
      <c r="H254" s="59">
        <v>7</v>
      </c>
      <c r="I254" s="59">
        <v>8</v>
      </c>
      <c r="J254" s="59">
        <v>9</v>
      </c>
      <c r="K254" s="60">
        <v>10</v>
      </c>
    </row>
    <row r="255" ht="20.4" customHeight="1" spans="1:13">
      <c r="A255" s="61" t="s">
        <v>56</v>
      </c>
      <c r="B255" s="62"/>
      <c r="C255" s="62"/>
      <c r="D255" s="62"/>
      <c r="E255" s="62"/>
      <c r="F255" s="62"/>
      <c r="G255" s="62"/>
      <c r="H255" s="62"/>
      <c r="I255" s="62"/>
      <c r="J255" s="62"/>
      <c r="K255" s="63"/>
    </row>
    <row r="256" ht="20.4" customHeight="1" spans="1:13">
      <c r="A256" s="61" t="s">
        <v>57</v>
      </c>
      <c r="B256" s="62"/>
      <c r="C256" s="62"/>
      <c r="D256" s="62"/>
      <c r="E256" s="62"/>
      <c r="F256" s="62"/>
      <c r="G256" s="62"/>
      <c r="H256" s="62"/>
      <c r="I256" s="62"/>
      <c r="J256" s="62"/>
      <c r="K256" s="63"/>
    </row>
    <row r="257" s="25" customFormat="1" ht="6" customHeight="1" spans="1:12">
      <c r="A257" s="64"/>
      <c r="B257" s="35"/>
      <c r="C257" s="35"/>
      <c r="D257" s="35"/>
      <c r="E257" s="35"/>
      <c r="F257" s="35"/>
      <c r="G257" s="35"/>
      <c r="H257" s="35"/>
      <c r="I257" s="35"/>
      <c r="J257" s="35"/>
      <c r="K257" s="65"/>
    </row>
    <row r="258" ht="30" customHeight="1" spans="1:12">
      <c r="A258" s="66" t="s">
        <v>58</v>
      </c>
      <c r="B258" s="59">
        <v>1</v>
      </c>
      <c r="C258" s="59">
        <v>2</v>
      </c>
      <c r="D258" s="59">
        <v>3</v>
      </c>
      <c r="E258" s="59">
        <v>4</v>
      </c>
      <c r="F258" s="59">
        <v>5</v>
      </c>
      <c r="G258" s="59">
        <v>6</v>
      </c>
      <c r="H258" s="59">
        <v>7</v>
      </c>
      <c r="I258" s="59">
        <v>8</v>
      </c>
      <c r="J258" s="59">
        <v>9</v>
      </c>
      <c r="K258" s="60">
        <v>10</v>
      </c>
    </row>
    <row r="259" ht="20.4" customHeight="1" spans="1:12">
      <c r="A259" s="67" t="s">
        <v>59</v>
      </c>
      <c r="B259" s="59"/>
      <c r="C259" s="59"/>
      <c r="D259" s="59"/>
      <c r="E259" s="59"/>
      <c r="F259" s="59"/>
      <c r="G259" s="59"/>
      <c r="H259" s="59"/>
      <c r="I259" s="59"/>
      <c r="J259" s="59"/>
      <c r="K259" s="60"/>
    </row>
    <row r="260" ht="20.4" customHeight="1" spans="1:12">
      <c r="A260" s="61" t="s">
        <v>60</v>
      </c>
      <c r="B260" s="62"/>
      <c r="C260" s="62"/>
      <c r="D260" s="62"/>
      <c r="E260" s="62"/>
      <c r="F260" s="62"/>
      <c r="G260" s="62"/>
      <c r="H260" s="62"/>
      <c r="I260" s="62"/>
      <c r="J260" s="62"/>
      <c r="K260" s="63"/>
    </row>
    <row r="261" ht="20.4" customHeight="1" spans="1:12">
      <c r="A261" s="64" t="s">
        <v>61</v>
      </c>
      <c r="B261" s="62"/>
      <c r="C261" s="62"/>
      <c r="D261" s="62"/>
      <c r="E261" s="62"/>
      <c r="F261" s="62"/>
      <c r="G261" s="62"/>
      <c r="H261" s="62"/>
      <c r="I261" s="62"/>
      <c r="J261" s="62"/>
      <c r="K261" s="63"/>
    </row>
    <row r="262" ht="20.4" customHeight="1" spans="1:12">
      <c r="A262" s="64" t="s">
        <v>62</v>
      </c>
      <c r="B262" s="62"/>
      <c r="C262" s="62"/>
      <c r="D262" s="62"/>
      <c r="E262" s="62"/>
      <c r="F262" s="62"/>
      <c r="G262" s="62"/>
      <c r="H262" s="62"/>
      <c r="I262" s="62"/>
      <c r="J262" s="62"/>
      <c r="K262" s="63"/>
    </row>
    <row r="263" ht="20.4" customHeight="1" spans="1:12">
      <c r="A263" s="61" t="s">
        <v>63</v>
      </c>
      <c r="B263" s="62"/>
      <c r="C263" s="62"/>
      <c r="D263" s="62"/>
      <c r="E263" s="62"/>
      <c r="F263" s="62"/>
      <c r="G263" s="62"/>
      <c r="H263" s="62"/>
      <c r="I263" s="62"/>
      <c r="J263" s="62"/>
      <c r="K263" s="63"/>
    </row>
    <row r="264" ht="20.4" customHeight="1" spans="1:12">
      <c r="A264" s="61" t="s">
        <v>64</v>
      </c>
      <c r="B264" s="62"/>
      <c r="C264" s="62"/>
      <c r="D264" s="62"/>
      <c r="E264" s="62"/>
      <c r="F264" s="62"/>
      <c r="G264" s="62"/>
      <c r="H264" s="62"/>
      <c r="I264" s="62"/>
      <c r="J264" s="62"/>
      <c r="K264" s="63"/>
    </row>
    <row r="265" ht="27.6" customHeight="1" spans="1:12">
      <c r="A265" s="61" t="s">
        <v>65</v>
      </c>
      <c r="B265" s="62"/>
      <c r="C265" s="62"/>
      <c r="D265" s="62"/>
      <c r="E265" s="62"/>
      <c r="F265" s="62"/>
      <c r="G265" s="62"/>
      <c r="H265" s="62"/>
      <c r="I265" s="62"/>
      <c r="J265" s="62"/>
      <c r="K265" s="63"/>
    </row>
    <row r="266" s="24" customFormat="1" ht="20.4" customHeight="1" spans="1:12">
      <c r="A266" s="71" t="s">
        <v>66</v>
      </c>
      <c r="B266" s="72"/>
      <c r="C266" s="72"/>
      <c r="D266" s="72"/>
      <c r="E266" s="72"/>
      <c r="F266" s="72"/>
      <c r="G266" s="72"/>
      <c r="H266" s="72"/>
      <c r="I266" s="72"/>
      <c r="J266" s="72"/>
      <c r="K266" s="73"/>
    </row>
    <row r="267" ht="20.4" customHeight="1"/>
    <row r="268" ht="20.4" customHeight="1"/>
    <row r="269" ht="20.4" customHeight="1"/>
    <row r="270" ht="20.4" customHeight="1"/>
    <row r="271" s="25" customFormat="1" ht="28.2" customHeight="1" spans="1:12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</row>
    <row r="272" ht="20.4" customHeight="1"/>
    <row r="273" ht="20.4" customHeight="1"/>
    <row r="274" ht="20.4" customHeight="1"/>
    <row r="275" ht="20.4" customHeight="1"/>
    <row r="276" ht="20.4" customHeight="1"/>
  </sheetData>
  <mergeCells count="170">
    <mergeCell ref="A1:D1"/>
    <mergeCell ref="H1:K1"/>
    <mergeCell ref="A2:B2"/>
    <mergeCell ref="G2:H2"/>
    <mergeCell ref="J2:K2"/>
    <mergeCell ref="H4:J4"/>
    <mergeCell ref="A5:B5"/>
    <mergeCell ref="C5:D5"/>
    <mergeCell ref="E5:G5"/>
    <mergeCell ref="J5:K5"/>
    <mergeCell ref="A6:B6"/>
    <mergeCell ref="C6:D6"/>
    <mergeCell ref="E6:G6"/>
    <mergeCell ref="J6:K6"/>
    <mergeCell ref="A20:B20"/>
    <mergeCell ref="C20:D20"/>
    <mergeCell ref="E20:G20"/>
    <mergeCell ref="J20:K20"/>
    <mergeCell ref="A21:B21"/>
    <mergeCell ref="C21:D21"/>
    <mergeCell ref="E21:G21"/>
    <mergeCell ref="J21:K21"/>
    <mergeCell ref="A35:D35"/>
    <mergeCell ref="H35:K35"/>
    <mergeCell ref="A36:B36"/>
    <mergeCell ref="G36:H36"/>
    <mergeCell ref="J36:K36"/>
    <mergeCell ref="H38:J38"/>
    <mergeCell ref="A39:B39"/>
    <mergeCell ref="C39:D39"/>
    <mergeCell ref="E39:G39"/>
    <mergeCell ref="J39:K39"/>
    <mergeCell ref="A40:B40"/>
    <mergeCell ref="C40:D40"/>
    <mergeCell ref="E40:G40"/>
    <mergeCell ref="J40:K40"/>
    <mergeCell ref="A54:B54"/>
    <mergeCell ref="C54:D54"/>
    <mergeCell ref="E54:G54"/>
    <mergeCell ref="J54:K54"/>
    <mergeCell ref="A55:B55"/>
    <mergeCell ref="C55:D55"/>
    <mergeCell ref="E55:G55"/>
    <mergeCell ref="J55:K55"/>
    <mergeCell ref="A69:D69"/>
    <mergeCell ref="H69:K69"/>
    <mergeCell ref="A70:B70"/>
    <mergeCell ref="G70:H70"/>
    <mergeCell ref="J70:K70"/>
    <mergeCell ref="A72:B72"/>
    <mergeCell ref="C72:D72"/>
    <mergeCell ref="E72:G72"/>
    <mergeCell ref="J72:K72"/>
    <mergeCell ref="A73:B73"/>
    <mergeCell ref="C73:D73"/>
    <mergeCell ref="E73:G73"/>
    <mergeCell ref="J73:K73"/>
    <mergeCell ref="A87:B87"/>
    <mergeCell ref="C87:D87"/>
    <mergeCell ref="E87:G87"/>
    <mergeCell ref="J87:K87"/>
    <mergeCell ref="A88:B88"/>
    <mergeCell ref="C88:D88"/>
    <mergeCell ref="E88:G88"/>
    <mergeCell ref="J88:K88"/>
    <mergeCell ref="A102:D102"/>
    <mergeCell ref="H102:K102"/>
    <mergeCell ref="A103:B103"/>
    <mergeCell ref="G103:H103"/>
    <mergeCell ref="J103:K103"/>
    <mergeCell ref="A105:B105"/>
    <mergeCell ref="C105:D105"/>
    <mergeCell ref="E105:G105"/>
    <mergeCell ref="J105:K105"/>
    <mergeCell ref="A106:B106"/>
    <mergeCell ref="C106:D106"/>
    <mergeCell ref="E106:G106"/>
    <mergeCell ref="J106:K106"/>
    <mergeCell ref="A120:B120"/>
    <mergeCell ref="C120:D120"/>
    <mergeCell ref="E120:G120"/>
    <mergeCell ref="J120:K120"/>
    <mergeCell ref="A121:B121"/>
    <mergeCell ref="C121:D121"/>
    <mergeCell ref="E121:G121"/>
    <mergeCell ref="J121:K121"/>
    <mergeCell ref="A135:D135"/>
    <mergeCell ref="H135:K135"/>
    <mergeCell ref="A136:B136"/>
    <mergeCell ref="G136:H136"/>
    <mergeCell ref="J136:K136"/>
    <mergeCell ref="A138:B138"/>
    <mergeCell ref="C138:D138"/>
    <mergeCell ref="E138:G138"/>
    <mergeCell ref="J138:K138"/>
    <mergeCell ref="A139:B139"/>
    <mergeCell ref="C139:D139"/>
    <mergeCell ref="E139:G139"/>
    <mergeCell ref="J139:K139"/>
    <mergeCell ref="A153:B153"/>
    <mergeCell ref="C153:D153"/>
    <mergeCell ref="E153:G153"/>
    <mergeCell ref="J153:K153"/>
    <mergeCell ref="A154:B154"/>
    <mergeCell ref="C154:D154"/>
    <mergeCell ref="E154:G154"/>
    <mergeCell ref="J154:K154"/>
    <mergeCell ref="A168:D168"/>
    <mergeCell ref="H168:K168"/>
    <mergeCell ref="A169:B169"/>
    <mergeCell ref="G169:H169"/>
    <mergeCell ref="J169:K169"/>
    <mergeCell ref="A171:B171"/>
    <mergeCell ref="C171:D171"/>
    <mergeCell ref="E171:G171"/>
    <mergeCell ref="J171:K171"/>
    <mergeCell ref="A172:B172"/>
    <mergeCell ref="C172:D172"/>
    <mergeCell ref="E172:G172"/>
    <mergeCell ref="J172:K172"/>
    <mergeCell ref="A186:B186"/>
    <mergeCell ref="C186:D186"/>
    <mergeCell ref="E186:G186"/>
    <mergeCell ref="J186:K186"/>
    <mergeCell ref="A187:B187"/>
    <mergeCell ref="C187:D187"/>
    <mergeCell ref="E187:G187"/>
    <mergeCell ref="J187:K187"/>
    <mergeCell ref="A201:D201"/>
    <mergeCell ref="H201:K201"/>
    <mergeCell ref="A202:B202"/>
    <mergeCell ref="G202:H202"/>
    <mergeCell ref="J202:K202"/>
    <mergeCell ref="A204:B204"/>
    <mergeCell ref="C204:D204"/>
    <mergeCell ref="E204:G204"/>
    <mergeCell ref="J204:K204"/>
    <mergeCell ref="A205:B205"/>
    <mergeCell ref="C205:D205"/>
    <mergeCell ref="E205:G205"/>
    <mergeCell ref="J205:K205"/>
    <mergeCell ref="A219:B219"/>
    <mergeCell ref="C219:D219"/>
    <mergeCell ref="E219:G219"/>
    <mergeCell ref="J219:K219"/>
    <mergeCell ref="A220:B220"/>
    <mergeCell ref="C220:D220"/>
    <mergeCell ref="E220:G220"/>
    <mergeCell ref="J220:K220"/>
    <mergeCell ref="A234:D234"/>
    <mergeCell ref="H234:K234"/>
    <mergeCell ref="A235:B235"/>
    <mergeCell ref="G235:H235"/>
    <mergeCell ref="J235:K235"/>
    <mergeCell ref="A237:B237"/>
    <mergeCell ref="C237:D237"/>
    <mergeCell ref="E237:G237"/>
    <mergeCell ref="J237:K237"/>
    <mergeCell ref="A238:B238"/>
    <mergeCell ref="C238:D238"/>
    <mergeCell ref="E238:G238"/>
    <mergeCell ref="J238:K238"/>
    <mergeCell ref="A252:B252"/>
    <mergeCell ref="C252:D252"/>
    <mergeCell ref="E252:G252"/>
    <mergeCell ref="J252:K252"/>
    <mergeCell ref="A253:B253"/>
    <mergeCell ref="C253:D253"/>
    <mergeCell ref="E253:G253"/>
    <mergeCell ref="J253:K253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workbookViewId="0">
      <selection activeCell="A5" sqref="A1:B5"/>
    </sheetView>
  </sheetViews>
  <sheetFormatPr defaultColWidth="9" defaultRowHeight="14.4" outlineLevelCol="4"/>
  <cols>
    <col min="1" max="1" width="43" customWidth="1"/>
    <col min="2" max="2" width="78.5555555555556" customWidth="1"/>
    <col min="3" max="3" width="6.55555555555556" customWidth="1"/>
    <col min="4" max="4" width="9.11111111111111" customWidth="1"/>
  </cols>
  <sheetData>
    <row r="1" s="3" customFormat="1" ht="95.4" customHeight="1" spans="1:5">
      <c r="A1" s="5" t="s">
        <v>67</v>
      </c>
      <c r="B1" s="6" t="str">
        <f>List!I2</f>
        <v/>
      </c>
      <c r="C1" s="7"/>
      <c r="D1" s="7"/>
    </row>
    <row r="2" s="3" customFormat="1" ht="96" customHeight="1" spans="1:5">
      <c r="A2" s="8" t="str">
        <f>'Warehouse Receiving Manifest'!F15</f>
        <v>FRESH  GINGER</v>
      </c>
      <c r="B2" s="8"/>
      <c r="C2" s="9"/>
      <c r="D2" s="10"/>
      <c r="E2" s="9"/>
    </row>
    <row r="3" s="3" customFormat="1" ht="89.4" customHeight="1" spans="1:5">
      <c r="A3" s="11">
        <f>List!E2</f>
        <v>0</v>
      </c>
      <c r="B3" s="11"/>
      <c r="C3" s="9"/>
      <c r="D3" s="10"/>
      <c r="E3" s="9"/>
    </row>
    <row r="4" s="3" customFormat="1" ht="114.6" spans="1:5">
      <c r="A4" s="12" t="str">
        <f>List!H2</f>
        <v/>
      </c>
      <c r="B4" s="12"/>
    </row>
    <row r="5" s="3" customFormat="1" ht="90" customHeight="1" spans="1:5">
      <c r="A5" s="13" t="s">
        <v>68</v>
      </c>
      <c r="B5" s="13"/>
    </row>
    <row r="6" s="3" customFormat="1" ht="95.4" customHeight="1" spans="1:5">
      <c r="A6" s="5" t="s">
        <v>67</v>
      </c>
      <c r="B6" s="6" t="str">
        <f>List!I3</f>
        <v/>
      </c>
      <c r="C6" s="7"/>
      <c r="D6" s="7"/>
    </row>
    <row r="7" s="3" customFormat="1" ht="96" customHeight="1" spans="1:5">
      <c r="A7" s="14" t="str">
        <f>List!J3</f>
        <v>FRESH  GINGER</v>
      </c>
      <c r="B7" s="14"/>
      <c r="C7" s="9"/>
      <c r="D7" s="10"/>
      <c r="E7" s="9"/>
    </row>
    <row r="8" s="3" customFormat="1" ht="89.4" customHeight="1" spans="1:5">
      <c r="A8" s="11">
        <f>List!E3</f>
        <v>0</v>
      </c>
      <c r="B8" s="11"/>
      <c r="C8" s="9"/>
      <c r="D8" s="10"/>
      <c r="E8" s="9"/>
    </row>
    <row r="9" s="3" customFormat="1" ht="114.6" spans="1:5">
      <c r="A9" s="12" t="str">
        <f>List!H3</f>
        <v/>
      </c>
      <c r="B9" s="12"/>
    </row>
    <row r="10" s="3" customFormat="1" ht="90" customHeight="1" spans="1:5">
      <c r="A10" s="13" t="s">
        <v>68</v>
      </c>
      <c r="B10" s="13"/>
    </row>
    <row r="11" s="3" customFormat="1" ht="95.4" customHeight="1" spans="1:5">
      <c r="A11" s="5" t="s">
        <v>67</v>
      </c>
      <c r="B11" s="6" t="str">
        <f>List!I4</f>
        <v/>
      </c>
      <c r="C11" s="7"/>
      <c r="D11" s="7"/>
    </row>
    <row r="12" s="3" customFormat="1" ht="96" customHeight="1" spans="1:5">
      <c r="A12" s="8" t="str">
        <f>List!J4</f>
        <v>FRESH  GINGER</v>
      </c>
      <c r="B12" s="8"/>
      <c r="C12" s="9"/>
      <c r="D12" s="10"/>
      <c r="E12" s="9"/>
    </row>
    <row r="13" s="3" customFormat="1" ht="89.4" customHeight="1" spans="1:5">
      <c r="A13" s="11">
        <f>List!E4</f>
        <v>0</v>
      </c>
      <c r="B13" s="11"/>
      <c r="C13" s="9"/>
      <c r="D13" s="10"/>
      <c r="E13" s="9"/>
    </row>
    <row r="14" s="3" customFormat="1" ht="114.6" spans="1:5">
      <c r="A14" s="12" t="str">
        <f>List!H4</f>
        <v/>
      </c>
      <c r="B14" s="12"/>
    </row>
    <row r="15" s="3" customFormat="1" ht="90" customHeight="1" spans="1:5">
      <c r="A15" s="13" t="s">
        <v>68</v>
      </c>
      <c r="B15" s="13"/>
    </row>
    <row r="16" s="3" customFormat="1" ht="95.4" customHeight="1" spans="1:5">
      <c r="A16" s="5" t="s">
        <v>67</v>
      </c>
      <c r="B16" s="6" t="str">
        <f>List!I5</f>
        <v/>
      </c>
      <c r="C16" s="7"/>
      <c r="D16" s="7"/>
    </row>
    <row r="17" s="3" customFormat="1" ht="96" customHeight="1" spans="1:5">
      <c r="A17" s="8" t="str">
        <f>List!J5</f>
        <v>FRESH  GINGER</v>
      </c>
      <c r="B17" s="8"/>
      <c r="C17" s="9"/>
      <c r="D17" s="10"/>
      <c r="E17" s="9"/>
    </row>
    <row r="18" s="3" customFormat="1" ht="89.4" customHeight="1" spans="1:5">
      <c r="A18" s="11">
        <f>List!E5</f>
        <v>0</v>
      </c>
      <c r="B18" s="11"/>
      <c r="C18" s="9"/>
      <c r="D18" s="10"/>
      <c r="E18" s="9"/>
    </row>
    <row r="19" s="3" customFormat="1" ht="114.6" spans="1:5">
      <c r="A19" s="12" t="str">
        <f>List!H5</f>
        <v/>
      </c>
      <c r="B19" s="12"/>
    </row>
    <row r="20" s="3" customFormat="1" ht="90" customHeight="1" spans="1:5">
      <c r="A20" s="13" t="s">
        <v>68</v>
      </c>
      <c r="B20" s="13"/>
    </row>
    <row r="21" s="3" customFormat="1" ht="95.4" customHeight="1" spans="1:5">
      <c r="A21" s="5" t="s">
        <v>67</v>
      </c>
      <c r="B21" s="6" t="str">
        <f>List!I6</f>
        <v/>
      </c>
      <c r="C21" s="7"/>
      <c r="D21" s="7"/>
    </row>
    <row r="22" s="3" customFormat="1" ht="96" customHeight="1" spans="1:5">
      <c r="A22" s="8" t="str">
        <f>List!J6</f>
        <v>FRESH  GINGER</v>
      </c>
      <c r="B22" s="8"/>
      <c r="C22" s="9"/>
      <c r="D22" s="10"/>
      <c r="E22" s="9"/>
    </row>
    <row r="23" s="3" customFormat="1" ht="89.4" customHeight="1" spans="1:5">
      <c r="A23" s="11">
        <f>List!E6</f>
        <v>0</v>
      </c>
      <c r="B23" s="11"/>
      <c r="C23" s="9"/>
      <c r="D23" s="10"/>
      <c r="E23" s="9"/>
    </row>
    <row r="24" s="3" customFormat="1" ht="114.6" spans="1:5">
      <c r="A24" s="12" t="str">
        <f>List!H6</f>
        <v/>
      </c>
      <c r="B24" s="12"/>
    </row>
    <row r="25" s="3" customFormat="1" ht="90" customHeight="1" spans="1:5">
      <c r="A25" s="13" t="s">
        <v>68</v>
      </c>
      <c r="B25" s="13"/>
    </row>
    <row r="26" s="3" customFormat="1" ht="95.4" customHeight="1" spans="1:5">
      <c r="A26" s="5" t="s">
        <v>67</v>
      </c>
      <c r="B26" s="6" t="str">
        <f>List!I7</f>
        <v/>
      </c>
      <c r="C26" s="7"/>
      <c r="D26" s="7"/>
    </row>
    <row r="27" s="3" customFormat="1" ht="96" customHeight="1" spans="1:5">
      <c r="A27" s="8" t="str">
        <f>List!J7</f>
        <v>FRESH  GINGER</v>
      </c>
      <c r="B27" s="8"/>
      <c r="C27" s="9"/>
      <c r="D27" s="10"/>
      <c r="E27" s="9"/>
    </row>
    <row r="28" s="3" customFormat="1" ht="89.4" customHeight="1" spans="1:5">
      <c r="A28" s="11">
        <f>List!E7</f>
        <v>0</v>
      </c>
      <c r="B28" s="11"/>
      <c r="C28" s="9"/>
      <c r="D28" s="10"/>
      <c r="E28" s="9"/>
    </row>
    <row r="29" s="3" customFormat="1" ht="114.6" spans="1:5">
      <c r="A29" s="12" t="str">
        <f>List!H7</f>
        <v/>
      </c>
      <c r="B29" s="12"/>
    </row>
    <row r="30" s="3" customFormat="1" ht="90" customHeight="1" spans="1:5">
      <c r="A30" s="13" t="s">
        <v>68</v>
      </c>
      <c r="B30" s="13"/>
    </row>
    <row r="31" s="3" customFormat="1" ht="95.4" customHeight="1" spans="1:5">
      <c r="A31" s="5" t="s">
        <v>67</v>
      </c>
      <c r="B31" s="6" t="str">
        <f>List!I8</f>
        <v/>
      </c>
      <c r="C31" s="7"/>
      <c r="D31" s="7"/>
    </row>
    <row r="32" s="3" customFormat="1" ht="96" customHeight="1" spans="1:5">
      <c r="A32" s="8" t="str">
        <f>List!J8</f>
        <v>FRESH  GINGER</v>
      </c>
      <c r="B32" s="8"/>
      <c r="C32" s="9"/>
      <c r="D32" s="10"/>
      <c r="E32" s="9"/>
    </row>
    <row r="33" s="3" customFormat="1" ht="89.4" customHeight="1" spans="1:5">
      <c r="A33" s="11">
        <f>List!E8</f>
        <v>0</v>
      </c>
      <c r="B33" s="11"/>
      <c r="C33" s="9"/>
      <c r="D33" s="10"/>
      <c r="E33" s="9"/>
    </row>
    <row r="34" s="3" customFormat="1" ht="114.6" spans="1:5">
      <c r="A34" s="12" t="str">
        <f>List!H8</f>
        <v/>
      </c>
      <c r="B34" s="12"/>
    </row>
    <row r="35" s="3" customFormat="1" ht="90" customHeight="1" spans="1:5">
      <c r="A35" s="13" t="s">
        <v>68</v>
      </c>
      <c r="B35" s="13"/>
    </row>
    <row r="36" s="3" customFormat="1" ht="95.4" customHeight="1" spans="1:5">
      <c r="A36" s="5" t="s">
        <v>67</v>
      </c>
      <c r="B36" s="6" t="str">
        <f>List!I9</f>
        <v/>
      </c>
      <c r="C36" s="7"/>
      <c r="D36" s="7"/>
    </row>
    <row r="37" s="3" customFormat="1" ht="96" customHeight="1" spans="1:5">
      <c r="A37" s="8" t="str">
        <f>List!J9</f>
        <v>FRESH  GINGER</v>
      </c>
      <c r="B37" s="8"/>
      <c r="C37" s="9"/>
      <c r="D37" s="10"/>
      <c r="E37" s="9"/>
    </row>
    <row r="38" s="3" customFormat="1" ht="89.4" customHeight="1" spans="1:5">
      <c r="A38" s="11">
        <f>List!E9</f>
        <v>0</v>
      </c>
      <c r="B38" s="11"/>
      <c r="C38" s="9"/>
      <c r="D38" s="10"/>
      <c r="E38" s="9"/>
    </row>
    <row r="39" s="3" customFormat="1" ht="114.6" spans="1:5">
      <c r="A39" s="12" t="str">
        <f>List!H9</f>
        <v/>
      </c>
      <c r="B39" s="12"/>
    </row>
    <row r="40" s="3" customFormat="1" ht="90" customHeight="1" spans="1:5">
      <c r="A40" s="13" t="s">
        <v>68</v>
      </c>
      <c r="B40" s="13"/>
    </row>
    <row r="41" s="4" customFormat="1" ht="95.4" customHeight="1" spans="1:5">
      <c r="A41" s="15" t="s">
        <v>67</v>
      </c>
      <c r="B41" s="16" t="str">
        <f>List!I10</f>
        <v/>
      </c>
      <c r="C41" s="17"/>
      <c r="D41" s="17"/>
    </row>
    <row r="42" s="4" customFormat="1" ht="96" customHeight="1" spans="1:5">
      <c r="A42" s="18" t="str">
        <f>List!J10</f>
        <v>FRESH  GINGER</v>
      </c>
      <c r="B42" s="18"/>
      <c r="C42" s="19"/>
      <c r="D42" s="20"/>
      <c r="E42" s="19"/>
    </row>
    <row r="43" s="4" customFormat="1" ht="89.4" customHeight="1" spans="1:5">
      <c r="A43" s="21">
        <f>List!E10</f>
        <v>0</v>
      </c>
      <c r="B43" s="21"/>
      <c r="C43" s="19"/>
      <c r="D43" s="20"/>
      <c r="E43" s="19"/>
    </row>
    <row r="44" s="4" customFormat="1" ht="114.6" spans="1:5">
      <c r="A44" s="22" t="str">
        <f>List!H10</f>
        <v/>
      </c>
      <c r="B44" s="22"/>
    </row>
    <row r="45" s="4" customFormat="1" ht="90" customHeight="1" spans="1:5">
      <c r="A45" s="23" t="s">
        <v>68</v>
      </c>
      <c r="B45" s="23"/>
    </row>
  </sheetData>
  <mergeCells count="36">
    <mergeCell ref="A2:B2"/>
    <mergeCell ref="A3:B3"/>
    <mergeCell ref="A4:B4"/>
    <mergeCell ref="A5:B5"/>
    <mergeCell ref="A7:B7"/>
    <mergeCell ref="A8:B8"/>
    <mergeCell ref="A9:B9"/>
    <mergeCell ref="A10:B10"/>
    <mergeCell ref="A12:B12"/>
    <mergeCell ref="A13:B13"/>
    <mergeCell ref="A14:B14"/>
    <mergeCell ref="A15:B15"/>
    <mergeCell ref="A17:B17"/>
    <mergeCell ref="A18:B18"/>
    <mergeCell ref="A19:B19"/>
    <mergeCell ref="A20:B20"/>
    <mergeCell ref="A22:B22"/>
    <mergeCell ref="A23:B23"/>
    <mergeCell ref="A24:B24"/>
    <mergeCell ref="A25:B25"/>
    <mergeCell ref="A27:B27"/>
    <mergeCell ref="A28:B28"/>
    <mergeCell ref="A29:B29"/>
    <mergeCell ref="A30:B30"/>
    <mergeCell ref="A32:B32"/>
    <mergeCell ref="A33:B33"/>
    <mergeCell ref="A34:B34"/>
    <mergeCell ref="A35:B35"/>
    <mergeCell ref="A37:B37"/>
    <mergeCell ref="A38:B38"/>
    <mergeCell ref="A39:B39"/>
    <mergeCell ref="A40:B40"/>
    <mergeCell ref="A42:B42"/>
    <mergeCell ref="A43:B43"/>
    <mergeCell ref="A44:B44"/>
    <mergeCell ref="A45:B45"/>
  </mergeCells>
  <pageMargins left="0.7" right="0.7" top="0.75" bottom="0.75" header="0.3" footer="0.3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F7" sqref="F7"/>
    </sheetView>
  </sheetViews>
  <sheetFormatPr defaultColWidth="9" defaultRowHeight="14.4" outlineLevelCol="1"/>
  <cols>
    <col min="1" max="1" width="27.3333333333333" style="1" customWidth="1"/>
    <col min="2" max="2" width="19.5555555555556" style="1" customWidth="1"/>
  </cols>
  <sheetData>
    <row r="1" ht="15.15" spans="1:2">
      <c r="A1" s="1" t="s">
        <v>69</v>
      </c>
      <c r="B1" s="1" t="s">
        <v>70</v>
      </c>
    </row>
    <row r="2" ht="15.15" spans="1:2">
      <c r="A2" s="2" t="s">
        <v>71</v>
      </c>
      <c r="B2" s="2" t="s">
        <v>72</v>
      </c>
    </row>
    <row r="3" ht="15.15" spans="1:2">
      <c r="A3" s="2" t="s">
        <v>73</v>
      </c>
      <c r="B3" s="2" t="s">
        <v>74</v>
      </c>
    </row>
    <row r="4" ht="15.15" spans="1:2">
      <c r="A4" s="2" t="s">
        <v>75</v>
      </c>
      <c r="B4" s="2" t="s">
        <v>76</v>
      </c>
    </row>
    <row r="5" ht="15.15" spans="1:2">
      <c r="A5" s="2" t="s">
        <v>77</v>
      </c>
      <c r="B5" s="2" t="s">
        <v>76</v>
      </c>
    </row>
    <row r="6" ht="15.15" spans="1:2">
      <c r="A6" s="2" t="s">
        <v>78</v>
      </c>
      <c r="B6" s="2" t="s">
        <v>79</v>
      </c>
    </row>
    <row r="7" ht="15.15" spans="1:2">
      <c r="A7" s="2" t="s">
        <v>75</v>
      </c>
      <c r="B7" s="2" t="s">
        <v>79</v>
      </c>
    </row>
    <row r="8" ht="15.15" spans="1:2">
      <c r="A8" s="2" t="s">
        <v>73</v>
      </c>
      <c r="B8" s="2" t="s">
        <v>80</v>
      </c>
    </row>
    <row r="9" ht="15.15" spans="1:2">
      <c r="A9" s="2" t="s">
        <v>81</v>
      </c>
      <c r="B9" s="2" t="s">
        <v>82</v>
      </c>
    </row>
    <row r="10" ht="15.15" spans="1:2">
      <c r="A10" s="2" t="s">
        <v>75</v>
      </c>
      <c r="B10" s="2" t="s">
        <v>83</v>
      </c>
    </row>
    <row r="11" ht="15.15" spans="1:2">
      <c r="A11" s="2" t="s">
        <v>84</v>
      </c>
      <c r="B11" s="2" t="s">
        <v>85</v>
      </c>
    </row>
    <row r="12" ht="15.15" spans="1:2">
      <c r="A12" s="2" t="s">
        <v>75</v>
      </c>
      <c r="B12" s="2" t="s">
        <v>86</v>
      </c>
    </row>
    <row r="13" ht="15.15" spans="1:2">
      <c r="A13" s="2" t="s">
        <v>75</v>
      </c>
      <c r="B13" s="2" t="s">
        <v>87</v>
      </c>
    </row>
    <row r="14" ht="27.15" spans="1:2">
      <c r="A14" s="2" t="s">
        <v>88</v>
      </c>
      <c r="B14" s="2" t="s">
        <v>89</v>
      </c>
    </row>
    <row r="15" ht="15.15" spans="1:2">
      <c r="A15" s="2" t="s">
        <v>90</v>
      </c>
      <c r="B15" s="2" t="s">
        <v>89</v>
      </c>
    </row>
    <row r="16" ht="15.15" spans="1:2">
      <c r="A16" s="2" t="s">
        <v>91</v>
      </c>
      <c r="B16" s="2" t="s">
        <v>89</v>
      </c>
    </row>
    <row r="17" ht="15.15" spans="1:2">
      <c r="A17" s="2" t="s">
        <v>92</v>
      </c>
      <c r="B17" s="2" t="s">
        <v>89</v>
      </c>
    </row>
    <row r="18" ht="15.15" spans="1:2">
      <c r="A18" s="2" t="s">
        <v>93</v>
      </c>
      <c r="B18" s="2" t="s">
        <v>89</v>
      </c>
    </row>
    <row r="19" ht="15.15" spans="1:2">
      <c r="A19" s="2" t="s">
        <v>94</v>
      </c>
      <c r="B19" s="2" t="s">
        <v>89</v>
      </c>
    </row>
    <row r="20" ht="15.15" spans="1:2">
      <c r="A20" s="2" t="s">
        <v>95</v>
      </c>
      <c r="B20" s="2" t="s">
        <v>89</v>
      </c>
    </row>
    <row r="21" ht="15.15" spans="1:2">
      <c r="A21" s="2" t="s">
        <v>96</v>
      </c>
      <c r="B21" s="2" t="s">
        <v>89</v>
      </c>
    </row>
    <row r="22" ht="27.15" spans="1:2">
      <c r="A22" s="2" t="s">
        <v>97</v>
      </c>
      <c r="B22" s="2" t="s">
        <v>89</v>
      </c>
    </row>
    <row r="23" ht="27.15" spans="1:2">
      <c r="A23" s="2" t="s">
        <v>98</v>
      </c>
      <c r="B23" s="2" t="s">
        <v>89</v>
      </c>
    </row>
    <row r="24" ht="27.15" spans="1:2">
      <c r="A24" s="2" t="s">
        <v>99</v>
      </c>
      <c r="B24" s="2" t="s">
        <v>89</v>
      </c>
    </row>
    <row r="25" ht="40.35" spans="1:2">
      <c r="A25" s="2" t="s">
        <v>100</v>
      </c>
      <c r="B25" s="2" t="s">
        <v>89</v>
      </c>
    </row>
    <row r="26" ht="15.15" spans="1:2">
      <c r="A26" s="2" t="s">
        <v>101</v>
      </c>
      <c r="B26" s="2" t="s">
        <v>89</v>
      </c>
    </row>
    <row r="27" ht="27.15" spans="1:2">
      <c r="A27" s="2" t="s">
        <v>102</v>
      </c>
      <c r="B27" s="2" t="s">
        <v>89</v>
      </c>
    </row>
    <row r="28" ht="15.15" spans="1:2">
      <c r="A28" s="2" t="s">
        <v>103</v>
      </c>
      <c r="B28" s="2" t="s">
        <v>89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Toshiba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List</vt:lpstr>
      <vt:lpstr>Warehouse Receiving Manifest</vt:lpstr>
      <vt:lpstr>Ginger Report</vt:lpstr>
      <vt:lpstr>label</vt:lpstr>
      <vt:lpstr>ginger supplier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lee</dc:creator>
  <cp:lastModifiedBy>trini</cp:lastModifiedBy>
  <dcterms:created xsi:type="dcterms:W3CDTF">2015-11-17T18:09:00Z</dcterms:created>
  <cp:lastPrinted>2025-07-31T14:42:00Z</cp:lastPrinted>
  <dcterms:modified xsi:type="dcterms:W3CDTF">2026-06-04T20:29:47Z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24DB712F10634E08B6981940D4C72CA9_12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