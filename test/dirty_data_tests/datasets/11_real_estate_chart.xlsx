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_github\excel-template-viz\test\dirty_data_tests\datasets\"/>
    </mc:Choice>
  </mc:AlternateContent>
  <xr:revisionPtr revIDLastSave="0" documentId="13_ncr:1_{DC29A719-057E-42C8-A1F4-18B4DF42158D}" xr6:coauthVersionLast="47" xr6:coauthVersionMax="47" xr10:uidLastSave="{00000000-0000-0000-0000-000000000000}"/>
  <bookViews>
    <workbookView xWindow="26040" yWindow="3615" windowWidth="21075" windowHeight="15345" xr2:uid="{00000000-000D-0000-FFFF-FFFF00000000}"/>
  </bookViews>
  <sheets>
    <sheet name="11_real_estate_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<sst xmlns="http://schemas.openxmlformats.org/spreadsheetml/2006/main" count="46" uniqueCount="36">
  <si>
    <t>Parcel_ID</t>
  </si>
  <si>
    <t>District</t>
  </si>
  <si>
    <t>Closing_Date</t>
  </si>
  <si>
    <t>Area_SQM</t>
  </si>
  <si>
    <t>List_Price</t>
  </si>
  <si>
    <t>Buyer_Name</t>
  </si>
  <si>
    <t>Area_vs_Mean</t>
  </si>
  <si>
    <t>Price_Share</t>
  </si>
  <si>
    <t>Compliance_Note</t>
  </si>
  <si>
    <t>RE-1103</t>
  </si>
  <si>
    <t>Lakeview</t>
  </si>
  <si>
    <t>2024-05-18</t>
  </si>
  <si>
    <t>Grace Hopper</t>
  </si>
  <si>
    <t>RE-1101</t>
  </si>
  <si>
    <t>Harbor District</t>
  </si>
  <si>
    <t>2026-05-18</t>
  </si>
  <si>
    <t>Ada Lovelace</t>
  </si>
  <si>
    <t>RE-1106</t>
  </si>
  <si>
    <t>Hillcrest</t>
  </si>
  <si>
    <t>Barbara Liskov</t>
  </si>
  <si>
    <t>RE-1102</t>
  </si>
  <si>
    <t>Old Town</t>
  </si>
  <si>
    <t>Alan Turing</t>
  </si>
  <si>
    <t>RE-1104</t>
  </si>
  <si>
    <t>Midtown</t>
  </si>
  <si>
    <t>Claude Shannon</t>
  </si>
  <si>
    <t>RE-1105</t>
  </si>
  <si>
    <t>Riverside</t>
  </si>
  <si>
    <t>Edsger Dijkstra</t>
  </si>
  <si>
    <t>Appraiser_Signoff</t>
    <phoneticPr fontId="1" type="noConversion"/>
  </si>
  <si>
    <t>D JUN</t>
    <phoneticPr fontId="1" type="noConversion"/>
  </si>
  <si>
    <t>WRONG DATA BUT I UNDERSTAND</t>
    <phoneticPr fontId="1" type="noConversion"/>
  </si>
  <si>
    <t>n/a</t>
    <phoneticPr fontId="1" type="noConversion"/>
  </si>
  <si>
    <t>Large outdoor area, suitable for commercial use</t>
    <phoneticPr fontId="1" type="noConversion"/>
  </si>
  <si>
    <t>gostnort</t>
    <phoneticPr fontId="1" type="noConversion"/>
  </si>
  <si>
    <t>trainee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</si>
</sst>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B1" workbookViewId="0">
      <selection activeCell="J5" sqref="J5"/>
    </sheetView>
  </sheetViews>
  <sheetFormatPr defaultRowHeight="13.5" x14ac:dyDescent="0.15"/>
  <cols>
    <col min="1" max="1" width="10.5" bestFit="1" customWidth="1"/>
    <col min="2" max="2" width="17.25" bestFit="1" customWidth="1"/>
    <col min="3" max="3" width="13.875" bestFit="1" customWidth="1"/>
    <col min="4" max="4" width="9.5" bestFit="1" customWidth="1"/>
    <col min="5" max="5" width="11.625" bestFit="1" customWidth="1"/>
    <col min="6" max="6" width="17.25" bestFit="1" customWidth="1"/>
    <col min="7" max="8" width="13.875" bestFit="1" customWidth="1"/>
    <col min="9" max="10" width="30.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</row>
    <row r="2" spans="1:10" x14ac:dyDescent="0.15">
      <c r="A2" t="s">
        <v>9</v>
      </c>
      <c r="B2" t="s">
        <v>10</v>
      </c>
      <c r="C2" t="s">
        <v>11</v>
      </c>
      <c r="D2">
        <v>200</v>
      </c>
      <c r="E2">
        <v>-620000</v>
      </c>
      <c r="F2" t="s">
        <v>12</v>
      </c>
      <c r="G2">
        <f t="shared" ref="G2:G7" si="0">IF(AVERAGE($D$2:$D$7)=0,"",D2/AVERAGE($D$2:$D$7))</f>
        <v>1.5789473684210527</v>
      </c>
      <c r="H2">
        <f t="shared" ref="H2:H7" si="1">IF(SUM($E$2:$E$7)=0,"",E2/SUM($E$2:$E$7))</f>
        <v>-2.6575225032147449E-2</v>
      </c>
      <c r="I2" t="s">
        <v>30</v>
      </c>
      <c r="J2" t="s">
        <v>31</v>
      </c>
    </row>
    <row r="3" spans="1:10" x14ac:dyDescent="0.15">
      <c r="A3" t="s">
        <v>13</v>
      </c>
      <c r="B3" t="s">
        <v>14</v>
      </c>
      <c r="C3" t="s">
        <v>15</v>
      </c>
      <c r="D3">
        <v>120</v>
      </c>
      <c r="E3">
        <v>1250000</v>
      </c>
      <c r="F3" t="s">
        <v>16</v>
      </c>
      <c r="G3">
        <f t="shared" si="0"/>
        <v>0.94736842105263153</v>
      </c>
      <c r="H3">
        <f t="shared" si="1"/>
        <v>5.3579082726103726E-2</v>
      </c>
      <c r="I3" t="s">
        <v>30</v>
      </c>
      <c r="J3" t="s">
        <v>32</v>
      </c>
    </row>
    <row r="4" spans="1:10" x14ac:dyDescent="0.15">
      <c r="A4" t="s">
        <v>17</v>
      </c>
      <c r="B4" t="s">
        <v>18</v>
      </c>
      <c r="C4" t="s">
        <v>15</v>
      </c>
      <c r="D4">
        <v>110</v>
      </c>
      <c r="E4">
        <v>4800000</v>
      </c>
      <c r="F4" t="s">
        <v>19</v>
      </c>
      <c r="G4">
        <f t="shared" si="0"/>
        <v>0.86842105263157887</v>
      </c>
      <c r="H4">
        <f t="shared" si="1"/>
        <v>0.20574367766823831</v>
      </c>
      <c r="I4" t="s">
        <v>30</v>
      </c>
      <c r="J4" t="s">
        <v>33</v>
      </c>
    </row>
    <row r="5" spans="1:10" x14ac:dyDescent="0.15">
      <c r="A5" t="s">
        <v>20</v>
      </c>
      <c r="B5" t="s">
        <v>21</v>
      </c>
      <c r="C5" t="s">
        <v>15</v>
      </c>
      <c r="D5">
        <v>85</v>
      </c>
      <c r="E5">
        <v>3400000</v>
      </c>
      <c r="F5" t="s">
        <v>22</v>
      </c>
      <c r="G5">
        <f t="shared" si="0"/>
        <v>0.67105263157894735</v>
      </c>
      <c r="H5">
        <f t="shared" si="1"/>
        <v>0.14573510501500214</v>
      </c>
      <c r="I5" t="s">
        <v>34</v>
      </c>
      <c r="J5" t="s">
        <v>35</v>
      </c>
    </row>
    <row r="6" spans="1:10" x14ac:dyDescent="0.15">
      <c r="A6" t="s">
        <v>23</v>
      </c>
      <c r="B6" t="s">
        <v>24</v>
      </c>
      <c r="C6" t="s">
        <v>15</v>
      </c>
      <c r="D6">
        <v>150</v>
      </c>
      <c r="E6">
        <v>2500000</v>
      </c>
      <c r="F6" t="s">
        <v>25</v>
      </c>
      <c r="G6">
        <f t="shared" si="0"/>
        <v>1.1842105263157894</v>
      </c>
      <c r="H6">
        <f t="shared" si="1"/>
        <v>0.10715816545220745</v>
      </c>
      <c r="I6" t="s">
        <v>34</v>
      </c>
      <c r="J6" t="s">
        <v>35</v>
      </c>
    </row>
    <row r="7" spans="1:10" x14ac:dyDescent="0.15">
      <c r="A7" t="s">
        <v>26</v>
      </c>
      <c r="B7" t="s">
        <v>27</v>
      </c>
      <c r="C7" t="s">
        <v>15</v>
      </c>
      <c r="D7">
        <v>95</v>
      </c>
      <c r="E7">
        <v>12000000</v>
      </c>
      <c r="F7" t="s">
        <v>28</v>
      </c>
      <c r="G7">
        <f t="shared" si="0"/>
        <v>0.75</v>
      </c>
      <c r="H7">
        <f t="shared" si="1"/>
        <v>0.51435919417059583</v>
      </c>
      <c r="I7" t="s">
        <v>34</v>
      </c>
      <c r="J7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11_real_estate_chart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11_real_estate_chart</dc:title>
  <dc:creator>openpyxl</dc:creator>
  <cp:lastModifiedBy>JUN LIU</cp:lastModifiedBy>
  <dcterms:created xsi:type="dcterms:W3CDTF">2026-10-15T04:42:32Z</dcterms:created>
  <dcterms:modified xsi:type="dcterms:W3CDTF">2026-10-15T04:57:12Z</dcterms:modified>
</cp:coreProperties>
</file>